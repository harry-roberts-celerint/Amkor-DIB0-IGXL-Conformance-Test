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ry\OneDrive\Documents\business\Celerint\customers\Amkor\Amkor Demo Program Files\dib0 IGXL program files\"/>
    </mc:Choice>
  </mc:AlternateContent>
  <xr:revisionPtr revIDLastSave="0" documentId="13_ncr:1_{37956118-1DBE-4FC7-897A-AFB49F1BAF0D}" xr6:coauthVersionLast="47" xr6:coauthVersionMax="47" xr10:uidLastSave="{00000000-0000-0000-0000-000000000000}"/>
  <bookViews>
    <workbookView xWindow="2472" yWindow="996" windowWidth="39576" windowHeight="23760" tabRatio="741" activeTab="1" xr2:uid="{00000000-000D-0000-FFFF-FFFF00000000}"/>
  </bookViews>
  <sheets>
    <sheet name="-Home-" sheetId="194" r:id="rId1"/>
    <sheet name="Flow Table" sheetId="33" r:id="rId2"/>
    <sheet name="Test Instances" sheetId="179" r:id="rId3"/>
    <sheet name="Channel Map" sheetId="82" r:id="rId4"/>
    <sheet name="Pinmap" sheetId="22" r:id="rId5"/>
    <sheet name="$$SheetNames" sheetId="25" state="hidden" r:id="rId6"/>
    <sheet name="Pattern Sets" sheetId="38" r:id="rId7"/>
    <sheet name="Global Specs" sheetId="21" r:id="rId8"/>
    <sheet name="Levels" sheetId="29" r:id="rId9"/>
    <sheet name="Time Sets" sheetId="28" r:id="rId10"/>
    <sheet name="TDRData" sheetId="94" r:id="rId11"/>
    <sheet name="length report" sheetId="93" r:id="rId12"/>
    <sheet name="PCB Analysis" sheetId="95" r:id="rId13"/>
    <sheet name="PCB Analysis Copy" sheetId="121" r:id="rId14"/>
  </sheets>
  <functionGroups builtInGroupCount="19"/>
  <externalReferences>
    <externalReference r:id="rId15"/>
  </externalReferences>
  <definedNames>
    <definedName name="_xlnm._FilterDatabase" localSheetId="8" hidden="1">Levels!$D$3:$D$4</definedName>
    <definedName name="_xlnm._FilterDatabase" localSheetId="4" hidden="1">Pinmap!$C$3:$C$3</definedName>
    <definedName name="_xlnm._FilterDatabase" localSheetId="2" hidden="1">'Test Instances'!$D$4:$D$5</definedName>
    <definedName name="_xlnm._FilterDatabase" localSheetId="9" hidden="1">'Time Sets'!$D$7:$D$8</definedName>
    <definedName name="_TestLoopCounter">'Global Specs'!$D$7</definedName>
    <definedName name="_Vch_default">'Global Specs'!$D$5</definedName>
    <definedName name="_Vcl_default">'Global Specs'!$D$4</definedName>
    <definedName name="_Vph_default">'Global Specs'!$D$6</definedName>
    <definedName name="A">1</definedName>
    <definedName name="Db">1</definedName>
    <definedName name="FlowTableOpcodes" localSheetId="7" hidden="1">[1]Sheet1!$B$1:$B$26</definedName>
    <definedName name="FlowTableOpcodes" localSheetId="4" hidden="1">[1]Sheet1!$B$1:$B$26</definedName>
    <definedName name="FlowTableOpcodes" hidden="1">[1]Sheet1!$B$1:$B$26</definedName>
    <definedName name="GHz">1000000000</definedName>
    <definedName name="Hz">1</definedName>
    <definedName name="KHz">1000</definedName>
    <definedName name="mA">0.001</definedName>
    <definedName name="MHz">1000000</definedName>
    <definedName name="ms">0.001</definedName>
    <definedName name="mV">0.001</definedName>
    <definedName name="nA">0.000000001</definedName>
    <definedName name="ns">0.000000001</definedName>
    <definedName name="nV">0.000000001</definedName>
    <definedName name="pA">0.000000000001</definedName>
    <definedName name="ps">0.000000000001</definedName>
    <definedName name="s">1</definedName>
    <definedName name="uA">0.000001</definedName>
    <definedName name="us">0.000001</definedName>
    <definedName name="uV">0.000001</definedName>
    <definedName name="V">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25" l="1"/>
  <c r="A2" i="25"/>
  <c r="A3" i="25"/>
  <c r="A4" i="25"/>
  <c r="A5" i="25"/>
  <c r="A6" i="25"/>
  <c r="A7" i="25"/>
  <c r="A8" i="25"/>
  <c r="A9" i="25"/>
  <c r="A10" i="25"/>
  <c r="A11" i="25"/>
  <c r="A12" i="25"/>
  <c r="A13" i="25"/>
  <c r="D10" i="121" l="1"/>
  <c r="G10" i="121" s="1"/>
  <c r="H10" i="121" s="1"/>
  <c r="D9" i="121"/>
  <c r="G9" i="121" s="1"/>
  <c r="H9" i="121" s="1"/>
  <c r="D8" i="121"/>
  <c r="G8" i="121" s="1"/>
  <c r="H8" i="121" s="1"/>
  <c r="D7" i="121"/>
  <c r="E7" i="121" s="1"/>
  <c r="D6" i="121"/>
  <c r="E6" i="121" s="1"/>
  <c r="D5" i="121"/>
  <c r="G5" i="121" s="1"/>
  <c r="H5" i="121" s="1"/>
  <c r="D4" i="121"/>
  <c r="F4" i="121" s="1"/>
  <c r="D10" i="95"/>
  <c r="G10" i="95" s="1"/>
  <c r="H10" i="95" s="1"/>
  <c r="D9" i="95"/>
  <c r="G9" i="95" s="1"/>
  <c r="H9" i="95" s="1"/>
  <c r="D8" i="95"/>
  <c r="G8" i="95" s="1"/>
  <c r="H8" i="95" s="1"/>
  <c r="D7" i="95"/>
  <c r="G7" i="95" s="1"/>
  <c r="H7" i="95" s="1"/>
  <c r="D6" i="95"/>
  <c r="E6" i="95" s="1"/>
  <c r="D5" i="95"/>
  <c r="F5" i="95" s="1"/>
  <c r="D4" i="95"/>
  <c r="G4" i="95" s="1"/>
  <c r="H4" i="95" s="1"/>
  <c r="E4" i="95" l="1"/>
  <c r="E10" i="95"/>
  <c r="G7" i="121"/>
  <c r="H7" i="121" s="1"/>
  <c r="E4" i="121"/>
  <c r="F7" i="121"/>
  <c r="E5" i="121"/>
  <c r="E9" i="121"/>
  <c r="F5" i="121"/>
  <c r="F9" i="121"/>
  <c r="F8" i="121"/>
  <c r="E10" i="121"/>
  <c r="F6" i="121"/>
  <c r="F10" i="121"/>
  <c r="G4" i="121"/>
  <c r="H4" i="121" s="1"/>
  <c r="G6" i="121"/>
  <c r="H6" i="121" s="1"/>
  <c r="E8" i="121"/>
  <c r="F7" i="95"/>
  <c r="E8" i="95"/>
  <c r="E7" i="95"/>
  <c r="F8" i="95"/>
  <c r="G5" i="95"/>
  <c r="H5" i="95" s="1"/>
  <c r="E5" i="95"/>
  <c r="F6" i="95"/>
  <c r="F10" i="95"/>
  <c r="G6" i="95"/>
  <c r="H6" i="95" s="1"/>
  <c r="F4" i="95"/>
  <c r="E9" i="95"/>
  <c r="F9" i="95"/>
  <c r="E12" i="29" l="1"/>
  <c r="E11" i="29"/>
</calcChain>
</file>

<file path=xl/sharedStrings.xml><?xml version="1.0" encoding="utf-8"?>
<sst xmlns="http://schemas.openxmlformats.org/spreadsheetml/2006/main" count="691" uniqueCount="416">
  <si>
    <t>Group Name</t>
  </si>
  <si>
    <t>Pin Name</t>
  </si>
  <si>
    <t>Type</t>
  </si>
  <si>
    <t>Comment</t>
  </si>
  <si>
    <t>Pin Map</t>
  </si>
  <si>
    <t>Vcl_default</t>
  </si>
  <si>
    <t>Detector clamp voltage low</t>
  </si>
  <si>
    <t>Vch_default</t>
  </si>
  <si>
    <t>Detector clamp voltage high</t>
  </si>
  <si>
    <t>Symbol</t>
  </si>
  <si>
    <t>Job</t>
  </si>
  <si>
    <t>Value</t>
  </si>
  <si>
    <t>Global Specs</t>
  </si>
  <si>
    <t>Name</t>
  </si>
  <si>
    <t>Time Sets</t>
  </si>
  <si>
    <t>Edge Sets</t>
  </si>
  <si>
    <t>Pin Levels</t>
  </si>
  <si>
    <t>Arg14</t>
  </si>
  <si>
    <t>Arg15</t>
  </si>
  <si>
    <t>Arg16</t>
  </si>
  <si>
    <t>Arg17</t>
  </si>
  <si>
    <t>Arg18</t>
  </si>
  <si>
    <t>Arg19</t>
  </si>
  <si>
    <t>Arg20</t>
  </si>
  <si>
    <t>Arg21</t>
  </si>
  <si>
    <t>Arg22</t>
  </si>
  <si>
    <t>Arg23</t>
  </si>
  <si>
    <t>Arg24</t>
  </si>
  <si>
    <t>Arg25</t>
  </si>
  <si>
    <t>Arg26</t>
  </si>
  <si>
    <t>Arg27</t>
  </si>
  <si>
    <t>Arg28</t>
  </si>
  <si>
    <t>Arg29</t>
  </si>
  <si>
    <t>Arg30</t>
  </si>
  <si>
    <t>Arg31</t>
  </si>
  <si>
    <t>Arg32</t>
  </si>
  <si>
    <t>Arg33</t>
  </si>
  <si>
    <t>Arg34</t>
  </si>
  <si>
    <t>Arg35</t>
  </si>
  <si>
    <t>Arg36</t>
  </si>
  <si>
    <t>Arg37</t>
  </si>
  <si>
    <t>Arg38</t>
  </si>
  <si>
    <t>Arg39</t>
  </si>
  <si>
    <t>Arg40</t>
  </si>
  <si>
    <t>Arg41</t>
  </si>
  <si>
    <t>Arg42</t>
  </si>
  <si>
    <t>Arg43</t>
  </si>
  <si>
    <t>Arg44</t>
  </si>
  <si>
    <t>Test Instances</t>
  </si>
  <si>
    <t>Label</t>
  </si>
  <si>
    <t>Enable</t>
  </si>
  <si>
    <t>Command</t>
  </si>
  <si>
    <t>Opcode</t>
  </si>
  <si>
    <t>Parameter</t>
  </si>
  <si>
    <t>TName</t>
  </si>
  <si>
    <t>TNum</t>
  </si>
  <si>
    <t>Bin Number</t>
  </si>
  <si>
    <t>Pass</t>
  </si>
  <si>
    <t>Fail</t>
  </si>
  <si>
    <t>Sort Number</t>
  </si>
  <si>
    <t>Result</t>
  </si>
  <si>
    <t>State</t>
  </si>
  <si>
    <t>Group</t>
  </si>
  <si>
    <t>Specifier</t>
  </si>
  <si>
    <t>Sense</t>
  </si>
  <si>
    <t>Condition</t>
  </si>
  <si>
    <t>Device</t>
  </si>
  <si>
    <t>Debug</t>
  </si>
  <si>
    <t>Assume</t>
  </si>
  <si>
    <t>Sites</t>
  </si>
  <si>
    <t>Flow Table</t>
  </si>
  <si>
    <t>Gate</t>
  </si>
  <si>
    <t>Part</t>
  </si>
  <si>
    <t>Env</t>
  </si>
  <si>
    <t>Element</t>
  </si>
  <si>
    <t>Home</t>
  </si>
  <si>
    <t>Arg45</t>
  </si>
  <si>
    <t>Arg46</t>
  </si>
  <si>
    <t>Arg47</t>
  </si>
  <si>
    <t>Arg48</t>
  </si>
  <si>
    <t>Arg49</t>
  </si>
  <si>
    <t>Arg50</t>
  </si>
  <si>
    <t>Arg51</t>
  </si>
  <si>
    <t>Arg52</t>
  </si>
  <si>
    <t>Arg53</t>
  </si>
  <si>
    <t>Arg54</t>
  </si>
  <si>
    <t>Arg55</t>
  </si>
  <si>
    <t>Arg56</t>
  </si>
  <si>
    <t>Arg57</t>
  </si>
  <si>
    <t>Arg58</t>
  </si>
  <si>
    <t>Arg59</t>
  </si>
  <si>
    <t>Arg60</t>
  </si>
  <si>
    <t>Arg61</t>
  </si>
  <si>
    <t>Arg62</t>
  </si>
  <si>
    <t>Arg63</t>
  </si>
  <si>
    <t>Arg64</t>
  </si>
  <si>
    <t>Arg65</t>
  </si>
  <si>
    <t>Arg66</t>
  </si>
  <si>
    <t>Arg67</t>
  </si>
  <si>
    <t>Arg68</t>
  </si>
  <si>
    <t>Arg69</t>
  </si>
  <si>
    <t>Arg70</t>
  </si>
  <si>
    <t>Arg71</t>
  </si>
  <si>
    <t>Arg72</t>
  </si>
  <si>
    <t>Arg73</t>
  </si>
  <si>
    <t>Arg74</t>
  </si>
  <si>
    <t>Arg75</t>
  </si>
  <si>
    <t>Arg76</t>
  </si>
  <si>
    <t>Arg77</t>
  </si>
  <si>
    <t>Arg78</t>
  </si>
  <si>
    <t>Arg79</t>
  </si>
  <si>
    <t>Arg80</t>
  </si>
  <si>
    <t>Arg81</t>
  </si>
  <si>
    <t>Arg82</t>
  </si>
  <si>
    <t>Arg83</t>
  </si>
  <si>
    <t>Arg84</t>
  </si>
  <si>
    <t>Arg85</t>
  </si>
  <si>
    <t>Arg86</t>
  </si>
  <si>
    <t>Arg87</t>
  </si>
  <si>
    <t>Arg88</t>
  </si>
  <si>
    <t>Arg89</t>
  </si>
  <si>
    <t>Arg90</t>
  </si>
  <si>
    <t>Arg91</t>
  </si>
  <si>
    <t>Arg92</t>
  </si>
  <si>
    <t>Arg93</t>
  </si>
  <si>
    <t>Arg94</t>
  </si>
  <si>
    <t>Arg95</t>
  </si>
  <si>
    <t>Arg96</t>
  </si>
  <si>
    <t>Arg97</t>
  </si>
  <si>
    <t>Arg98</t>
  </si>
  <si>
    <t>Arg99</t>
  </si>
  <si>
    <t>LoLim</t>
  </si>
  <si>
    <t>HiLim</t>
  </si>
  <si>
    <t>Limits</t>
  </si>
  <si>
    <t>Arg100</t>
  </si>
  <si>
    <t>Arg101</t>
  </si>
  <si>
    <t>Arg102</t>
  </si>
  <si>
    <t>Arg103</t>
  </si>
  <si>
    <t>Arg104</t>
  </si>
  <si>
    <t>Arg105</t>
  </si>
  <si>
    <t>Arg106</t>
  </si>
  <si>
    <t>Arg107</t>
  </si>
  <si>
    <t>Arg108</t>
  </si>
  <si>
    <t>Arg109</t>
  </si>
  <si>
    <t>Arg110</t>
  </si>
  <si>
    <t>Arg111</t>
  </si>
  <si>
    <t>Arg112</t>
  </si>
  <si>
    <t>Arg113</t>
  </si>
  <si>
    <t>Arg114</t>
  </si>
  <si>
    <t>Arg115</t>
  </si>
  <si>
    <t>Arg116</t>
  </si>
  <si>
    <t>Arg117</t>
  </si>
  <si>
    <t>Arg118</t>
  </si>
  <si>
    <t>Arg119</t>
  </si>
  <si>
    <t>Arg120</t>
  </si>
  <si>
    <t>Arg121</t>
  </si>
  <si>
    <t>Arg122</t>
  </si>
  <si>
    <t>Arg123</t>
  </si>
  <si>
    <t>Arg124</t>
  </si>
  <si>
    <t>Arg125</t>
  </si>
  <si>
    <t>Arg126</t>
  </si>
  <si>
    <t>Arg127</t>
  </si>
  <si>
    <t>Arg128</t>
  </si>
  <si>
    <t>Arg129</t>
  </si>
  <si>
    <t>DTGlobalSpecSheet,version=2.0:platform=Jaguar:toprow=-1:leftcol=-1:rightcol=-1</t>
  </si>
  <si>
    <t>Format</t>
  </si>
  <si>
    <t>Units</t>
  </si>
  <si>
    <t>Scale</t>
  </si>
  <si>
    <t>Datalog Display Results</t>
  </si>
  <si>
    <t>DTHomeSheet,version=2.0:platform=Jaguar:toprow=-1:leftcol=-1:rightcol=-1</t>
  </si>
  <si>
    <t>Information</t>
  </si>
  <si>
    <t>DTTestInstancesSheet,version=2.4:platform=Jaguar:toprow=-1:leftcol=-1:rightcol=-1</t>
  </si>
  <si>
    <t>Flow Domain:</t>
  </si>
  <si>
    <t>DTPinMap,version=2.1:platform=Jaguar:toprow=-1:leftcol=-1:rightcol=-1</t>
  </si>
  <si>
    <t>Vph_default</t>
  </si>
  <si>
    <t>Hi-V pin voltage high</t>
  </si>
  <si>
    <t>Background Type</t>
  </si>
  <si>
    <t>Serialize</t>
  </si>
  <si>
    <t>Resource Lock</t>
  </si>
  <si>
    <t>Flow Step Locked</t>
  </si>
  <si>
    <t>DTFlowtableSheet,version=2.3:platform=Jaguar:toprow=-1:leftcol=-1:rightcol=-1</t>
  </si>
  <si>
    <t>Action</t>
  </si>
  <si>
    <t>Elapsed Time (s)</t>
  </si>
  <si>
    <t>CT Profile Data</t>
  </si>
  <si>
    <t>USL Tag:</t>
  </si>
  <si>
    <t>Master Timeset Name:</t>
  </si>
  <si>
    <t>Strobe Ref Setup Name:</t>
  </si>
  <si>
    <t>Time Domain:</t>
  </si>
  <si>
    <t>Timing Mode:</t>
  </si>
  <si>
    <t>Single</t>
  </si>
  <si>
    <t>DTTimesetBasicSheet,version=2.3:platform=Jaguar:toprow=-1:leftcol=-1:rightcol=-1</t>
  </si>
  <si>
    <t>Time Set</t>
  </si>
  <si>
    <t>Period</t>
  </si>
  <si>
    <t>Cycle</t>
  </si>
  <si>
    <t>Clock Period</t>
  </si>
  <si>
    <t>Setup</t>
  </si>
  <si>
    <t>Src</t>
  </si>
  <si>
    <t>Pin/Group</t>
  </si>
  <si>
    <t>Fmt</t>
  </si>
  <si>
    <t>On</t>
  </si>
  <si>
    <t>Data</t>
  </si>
  <si>
    <t>Return</t>
  </si>
  <si>
    <t>Off</t>
  </si>
  <si>
    <t>Mode</t>
  </si>
  <si>
    <t>Drive</t>
  </si>
  <si>
    <t>Open</t>
  </si>
  <si>
    <t>Close</t>
  </si>
  <si>
    <t>Ref Offset</t>
  </si>
  <si>
    <t>Compare</t>
  </si>
  <si>
    <t>Edge Resolution</t>
  </si>
  <si>
    <t>Time Sets (Basic)</t>
  </si>
  <si>
    <t>DTLevelSheet,version=2.1:platform=Jaguar:toprow=-1:leftcol=-1:rightcol=-1</t>
  </si>
  <si>
    <t>Seq.</t>
  </si>
  <si>
    <t>I/O</t>
  </si>
  <si>
    <t>dig_switch_1</t>
  </si>
  <si>
    <t>analog_switch_1</t>
  </si>
  <si>
    <t>analog_C_meas_1</t>
  </si>
  <si>
    <t>analog_C_meas_2</t>
  </si>
  <si>
    <t>analog_C_meas_3</t>
  </si>
  <si>
    <t>Utility</t>
  </si>
  <si>
    <t>dig1</t>
  </si>
  <si>
    <t>dig2</t>
  </si>
  <si>
    <t>dig_contact_R1</t>
  </si>
  <si>
    <t>dig_contact_R2</t>
  </si>
  <si>
    <t>dig_contact_R3</t>
  </si>
  <si>
    <t>dig_contact_R4</t>
  </si>
  <si>
    <t>used for FRT and IRP</t>
  </si>
  <si>
    <t>IRP drift measurement of contact reistance</t>
  </si>
  <si>
    <t>VI80 C calculation</t>
  </si>
  <si>
    <t>switch test using 2-state FRT</t>
  </si>
  <si>
    <t>alarm method using F and S break</t>
  </si>
  <si>
    <t>DIB ID:</t>
  </si>
  <si>
    <t>Site Replication:</t>
  </si>
  <si>
    <t>View Mode:</t>
  </si>
  <si>
    <t>DTChanMap,version=2.4:platform=Jaguar:toprow=-1:leftcol=-1:rightcol=-1</t>
  </si>
  <si>
    <t>Package Pin</t>
  </si>
  <si>
    <t>Device Under Test</t>
  </si>
  <si>
    <t>Site 0</t>
  </si>
  <si>
    <t>Tester Channel</t>
  </si>
  <si>
    <t>Channel Map</t>
  </si>
  <si>
    <t>Pogo</t>
  </si>
  <si>
    <t>16.ad314</t>
  </si>
  <si>
    <t>16.ab316</t>
  </si>
  <si>
    <t>8.z312</t>
  </si>
  <si>
    <t>16.ab402</t>
  </si>
  <si>
    <t>16.z404</t>
  </si>
  <si>
    <t>8.z320</t>
  </si>
  <si>
    <t>8.z322</t>
  </si>
  <si>
    <t>all_dig</t>
  </si>
  <si>
    <t>Vil</t>
  </si>
  <si>
    <t>Vih</t>
  </si>
  <si>
    <t>Vol</t>
  </si>
  <si>
    <t>Voh</t>
  </si>
  <si>
    <t>Iol</t>
  </si>
  <si>
    <t>Ioh</t>
  </si>
  <si>
    <t>Vt</t>
  </si>
  <si>
    <t>Vcl</t>
  </si>
  <si>
    <t>Vch</t>
  </si>
  <si>
    <t>VoutLoTyp</t>
  </si>
  <si>
    <t>VoutHiTyp</t>
  </si>
  <si>
    <t>DriverMode</t>
  </si>
  <si>
    <t>Largeswing-HiZ</t>
  </si>
  <si>
    <t>TSet1</t>
  </si>
  <si>
    <t>TSet2</t>
  </si>
  <si>
    <t>PAT</t>
  </si>
  <si>
    <t>NR</t>
  </si>
  <si>
    <t>Edge</t>
  </si>
  <si>
    <t>Auto</t>
  </si>
  <si>
    <t>used for FRT verification of TDR</t>
  </si>
  <si>
    <t>Test</t>
  </si>
  <si>
    <t>FRT</t>
  </si>
  <si>
    <t>FRT_pins</t>
  </si>
  <si>
    <t>TSet3</t>
  </si>
  <si>
    <t>DTPatternSetSheet,version=2.2:platform=Jaguar:toprow=-1:leftcol=-1:rightcol=-1</t>
  </si>
  <si>
    <t>Pattern Set</t>
  </si>
  <si>
    <t>TD Group</t>
  </si>
  <si>
    <t>Time Domain</t>
  </si>
  <si>
    <t>File/Group Name</t>
  </si>
  <si>
    <t>Burst</t>
  </si>
  <si>
    <t>Start Label</t>
  </si>
  <si>
    <t>Stop Label</t>
  </si>
  <si>
    <t>Pattern Sets</t>
  </si>
  <si>
    <t>./patterns/pat_FRT_TDR.pat</t>
  </si>
  <si>
    <t>yes</t>
  </si>
  <si>
    <t>patset_FRT_TDR</t>
  </si>
  <si>
    <t>set-device</t>
  </si>
  <si>
    <t>patset_FRT_pogo</t>
  </si>
  <si>
    <t>patset_FRT_SPST_NO</t>
  </si>
  <si>
    <t>./patterns/pat_FRT_pogo.pat</t>
  </si>
  <si>
    <t>./patterns/pat_FRT_SPST_NO.pat</t>
  </si>
  <si>
    <t>nop</t>
  </si>
  <si>
    <t>DCVI</t>
  </si>
  <si>
    <t>Analog</t>
  </si>
  <si>
    <t>cbit_dig_1</t>
  </si>
  <si>
    <t>cbit_ana_1</t>
  </si>
  <si>
    <t>cbit for digital signal GRF-5 , K14</t>
  </si>
  <si>
    <t>cbit for analog signal SSR SPST relay, K22</t>
  </si>
  <si>
    <t>24.m211</t>
  </si>
  <si>
    <t>24.p211</t>
  </si>
  <si>
    <t>12.a302</t>
  </si>
  <si>
    <t>12.a403</t>
  </si>
  <si>
    <t>12.a407</t>
  </si>
  <si>
    <t>12.r402</t>
  </si>
  <si>
    <t>PCB_Analysis</t>
  </si>
  <si>
    <t>TSet4</t>
  </si>
  <si>
    <t>TSet5</t>
  </si>
  <si>
    <t>patset_FRT_SPST_NC</t>
  </si>
  <si>
    <t>./patterns/pat_FRT_SPST_NC.pat</t>
  </si>
  <si>
    <t>SPST_NC_check</t>
  </si>
  <si>
    <t>SPST_NC</t>
  </si>
  <si>
    <t/>
  </si>
  <si>
    <t>initialize_1</t>
  </si>
  <si>
    <t>DCVI_C_meas_1</t>
  </si>
  <si>
    <t>DCVI_C_meas_2</t>
  </si>
  <si>
    <t>DCVI_C_meas_3</t>
  </si>
  <si>
    <t>TDR time (ns)</t>
  </si>
  <si>
    <t>PCB</t>
  </si>
  <si>
    <t>channel</t>
  </si>
  <si>
    <t>length (inches)</t>
  </si>
  <si>
    <t>IRP_CPD</t>
  </si>
  <si>
    <t>patset_IRP_CPD</t>
  </si>
  <si>
    <t>./patterns/pat_IRP_CPD.pat</t>
  </si>
  <si>
    <t>IRP</t>
  </si>
  <si>
    <t>Relay_CTRL_PWR</t>
  </si>
  <si>
    <t>Relay_CTRL_PWR_coil</t>
  </si>
  <si>
    <t>cbit for K14 digital channel GRF-5, UDB51</t>
  </si>
  <si>
    <t>cbit for SPST  SSR relay on analog channel, UDB59</t>
  </si>
  <si>
    <t>start_pat_IRP_CPD</t>
  </si>
  <si>
    <t xml:space="preserve">tester     </t>
  </si>
  <si>
    <t xml:space="preserve">trace      </t>
  </si>
  <si>
    <t xml:space="preserve">TDR time   </t>
  </si>
  <si>
    <t xml:space="preserve">Velocity   </t>
  </si>
  <si>
    <t xml:space="preserve">Prop Delay </t>
  </si>
  <si>
    <t xml:space="preserve">Dielectric </t>
  </si>
  <si>
    <t xml:space="preserve">FR4?       </t>
  </si>
  <si>
    <t xml:space="preserve">(ns)       </t>
  </si>
  <si>
    <t xml:space="preserve">Factor     </t>
  </si>
  <si>
    <t xml:space="preserve">Constant   </t>
  </si>
  <si>
    <t xml:space="preserve">len (in)   </t>
  </si>
  <si>
    <t>conclusions</t>
  </si>
  <si>
    <t>Continuity</t>
  </si>
  <si>
    <t>patset_IRP_M</t>
  </si>
  <si>
    <t>./patterns/pat_IRP_M.pat</t>
  </si>
  <si>
    <t>IRP_M</t>
  </si>
  <si>
    <t>start_pat_IRP_M</t>
  </si>
  <si>
    <t xml:space="preserve">channel  name   </t>
  </si>
  <si>
    <t xml:space="preserve">(in/ns)    </t>
  </si>
  <si>
    <t xml:space="preserve">(ns/in)    </t>
  </si>
  <si>
    <t>from DIB design EDA</t>
  </si>
  <si>
    <t>D, from DIB design EDA</t>
  </si>
  <si>
    <t>T, measured from TDR</t>
  </si>
  <si>
    <t>calculated: V = D / T</t>
  </si>
  <si>
    <t>calculated: Pd = 1 / V</t>
  </si>
  <si>
    <t>calculated: Vf = V / c</t>
  </si>
  <si>
    <t>calculated: (c / V)^2</t>
  </si>
  <si>
    <t>between 3.8 and 4.8?</t>
  </si>
  <si>
    <t>analog_C_mease_top</t>
  </si>
  <si>
    <t>VI80 C temperature characterization</t>
  </si>
  <si>
    <t>DCVI_C_meas_top</t>
  </si>
  <si>
    <t>TestLoopCounter</t>
  </si>
  <si>
    <t>1#</t>
  </si>
  <si>
    <t>appended to data files when looping on test</t>
  </si>
  <si>
    <t>IRP_Probe</t>
  </si>
  <si>
    <t>12.a405</t>
  </si>
  <si>
    <t>Test Name</t>
  </si>
  <si>
    <t>Called As</t>
  </si>
  <si>
    <t>Category</t>
  </si>
  <si>
    <t>Test Procedure</t>
  </si>
  <si>
    <t>Selector</t>
  </si>
  <si>
    <t>DC Specs</t>
  </si>
  <si>
    <t>AC Specs</t>
  </si>
  <si>
    <t>Mixed Signal Timing</t>
  </si>
  <si>
    <t>Overlay</t>
  </si>
  <si>
    <t>Sheet Parameters</t>
  </si>
  <si>
    <t>Other Parameters</t>
  </si>
  <si>
    <t>VBT</t>
  </si>
  <si>
    <t>initialize</t>
  </si>
  <si>
    <t>Levels</t>
  </si>
  <si>
    <t>start_pat_FRT_TDR</t>
  </si>
  <si>
    <t>SPST_NO_check</t>
  </si>
  <si>
    <t>FRT_SPST_NO</t>
  </si>
  <si>
    <t>switches,dpin,patname,strtlab</t>
  </si>
  <si>
    <t>start_pat_FRT_SPST_NO</t>
  </si>
  <si>
    <t>FRT_SPST_NC</t>
  </si>
  <si>
    <t>start_pat_FRT_SPST_NC</t>
  </si>
  <si>
    <t>VI80_C_meas</t>
  </si>
  <si>
    <t>dpin,ExpectedCValue,ChargeTime,VoltageRating</t>
  </si>
  <si>
    <t>dpin</t>
  </si>
  <si>
    <t>numsamps,period,TimeStart,timesteps,voltstrt,voltstop,voltsteps,pgroup,patname,strtlab</t>
  </si>
  <si>
    <t>PinGroupName,SamplePinName,SampleSiteNumber,SamplesPerPoint,SampleTime,VoltageStart,VoltageStop,NumberOfPasses,patname,strtlab</t>
  </si>
  <si>
    <t>conclude_execution</t>
  </si>
  <si>
    <t>0</t>
  </si>
  <si>
    <t>100</t>
  </si>
  <si>
    <t>21E-9</t>
  </si>
  <si>
    <t>2.9</t>
  </si>
  <si>
    <t>3.1</t>
  </si>
  <si>
    <t>SamplesPerPoint,period,TimeStart,TimeStop,NumTimeSteps,VoltageStart,VoltageStop,VoltageWindow,PinGroupName,patname,strtlab,WriteExcel,WriteXML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</si>
  <si>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</si>
  <si>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</si>
  <si>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</si>
  <si>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</si>
  <si>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</si>
  <si>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</si>
  <si>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</si>
  <si>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</si>
  <si>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</si>
  <si>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</si>
  <si>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Arg11</t>
  </si>
  <si>
    <t>Arg12</t>
  </si>
  <si>
    <t>Arg13</t>
  </si>
  <si>
    <t>FRT_Continuity</t>
  </si>
  <si>
    <t>PinGroupName,patname,strtlab</t>
  </si>
  <si>
    <t>ArgList</t>
  </si>
  <si>
    <t>switches,PinGroupName,patname,strtlab</t>
  </si>
  <si>
    <t>Pinmap</t>
  </si>
  <si>
    <t>No categories or selectors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</si>
</sst>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???.###E+00;\-???.###E+00;0"/>
    <numFmt numFmtId="165" formatCode="???.###E+00;\-###.###E+00;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0"/>
      <name val="Courier New"/>
      <family val="3"/>
    </font>
    <font>
      <sz val="10"/>
      <color indexed="23"/>
      <name val="Courier New"/>
      <family val="3"/>
    </font>
    <font>
      <sz val="10"/>
      <color indexed="23"/>
      <name val="Arial"/>
    </font>
    <font>
      <b/>
      <sz val="10"/>
      <name val="Arial"/>
    </font>
    <font>
      <b/>
      <sz val="10"/>
      <name val="Arial"/>
      <family val="2"/>
    </font>
    <font>
      <sz val="10"/>
      <color rgb="FF808080"/>
      <name val="Arial"/>
      <family val="2"/>
    </font>
    <font>
      <sz val="10"/>
      <color rgb="FF808080"/>
      <name val="Courier New"/>
      <family val="3"/>
    </font>
    <font>
      <b/>
      <sz val="20"/>
      <color rgb="FF003399"/>
      <name val="Arial"/>
      <family val="2"/>
    </font>
    <font>
      <b/>
      <sz val="10"/>
      <color rgb="FF003399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sz val="8"/>
      <color rgb="FFD2EBFF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color indexed="23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rgb="FF000000"/>
      <name val="Arial"/>
      <family val="2"/>
    </font>
    <font>
      <b/>
      <u/>
      <sz val="10"/>
      <color rgb="FF000000"/>
      <name val="Arial"/>
      <family val="2"/>
    </font>
  </fonts>
  <fills count="44">
    <fill>
      <patternFill patternType="none"/>
    </fill>
    <fill>
      <patternFill patternType="gray125"/>
    </fill>
    <fill>
      <patternFill patternType="lightUp">
        <fgColor indexed="22"/>
      </patternFill>
    </fill>
    <fill>
      <patternFill patternType="solid">
        <fgColor indexed="9"/>
      </patternFill>
    </fill>
    <fill>
      <patternFill patternType="solid">
        <fgColor indexed="50"/>
      </patternFill>
    </fill>
    <fill>
      <patternFill patternType="lightUp">
        <fgColor rgb="FFC0C0C0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hair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5">
    <xf numFmtId="0" fontId="0" fillId="0" borderId="0"/>
    <xf numFmtId="0" fontId="13" fillId="10" borderId="1"/>
    <xf numFmtId="165" fontId="5" fillId="2" borderId="2"/>
    <xf numFmtId="165" fontId="4" fillId="0" borderId="2"/>
    <xf numFmtId="0" fontId="6" fillId="3" borderId="2"/>
    <xf numFmtId="0" fontId="7" fillId="0" borderId="2"/>
    <xf numFmtId="165" fontId="5" fillId="4" borderId="2"/>
    <xf numFmtId="49" fontId="6" fillId="2" borderId="2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9" fillId="13" borderId="0" applyNumberFormat="0" applyBorder="0" applyAlignment="0" applyProtection="0"/>
    <xf numFmtId="0" fontId="20" fillId="14" borderId="0" applyNumberFormat="0" applyBorder="0" applyAlignment="0" applyProtection="0"/>
    <xf numFmtId="0" fontId="21" fillId="16" borderId="10" applyNumberFormat="0" applyAlignment="0" applyProtection="0"/>
    <xf numFmtId="0" fontId="22" fillId="17" borderId="11" applyNumberFormat="0" applyAlignment="0" applyProtection="0"/>
    <xf numFmtId="0" fontId="23" fillId="17" borderId="10" applyNumberFormat="0" applyAlignment="0" applyProtection="0"/>
    <xf numFmtId="0" fontId="24" fillId="0" borderId="12" applyNumberFormat="0" applyFill="0" applyAlignment="0" applyProtection="0"/>
    <xf numFmtId="0" fontId="25" fillId="18" borderId="13" applyNumberFormat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15" applyNumberFormat="0" applyFill="0" applyAlignment="0" applyProtection="0"/>
    <xf numFmtId="0" fontId="29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9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9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9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9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29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0" borderId="0"/>
    <xf numFmtId="0" fontId="30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2" fillId="19" borderId="14" applyNumberFormat="0" applyFont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39" borderId="0" applyNumberFormat="0" applyBorder="0" applyAlignment="0" applyProtection="0"/>
    <xf numFmtId="0" fontId="2" fillId="43" borderId="0" applyNumberFormat="0" applyBorder="0" applyAlignment="0" applyProtection="0"/>
    <xf numFmtId="49" fontId="3" fillId="0" borderId="2"/>
    <xf numFmtId="0" fontId="9" fillId="8" borderId="2"/>
    <xf numFmtId="0" fontId="13" fillId="11" borderId="1"/>
    <xf numFmtId="0" fontId="15" fillId="9" borderId="0"/>
    <xf numFmtId="164" fontId="10" fillId="6" borderId="2"/>
    <xf numFmtId="164" fontId="3" fillId="7" borderId="2"/>
    <xf numFmtId="0" fontId="8" fillId="0" borderId="0"/>
    <xf numFmtId="0" fontId="9" fillId="6" borderId="2"/>
    <xf numFmtId="49" fontId="9" fillId="5" borderId="2"/>
    <xf numFmtId="0" fontId="8" fillId="0" borderId="2"/>
    <xf numFmtId="0" fontId="8" fillId="12" borderId="1"/>
    <xf numFmtId="0" fontId="12" fillId="9" borderId="0"/>
    <xf numFmtId="0" fontId="14" fillId="0" borderId="2"/>
    <xf numFmtId="164" fontId="10" fillId="5" borderId="2"/>
    <xf numFmtId="164" fontId="3" fillId="0" borderId="2"/>
    <xf numFmtId="0" fontId="11" fillId="9" borderId="0"/>
    <xf numFmtId="0" fontId="9" fillId="5" borderId="2"/>
    <xf numFmtId="164" fontId="4" fillId="0" borderId="2"/>
    <xf numFmtId="0" fontId="14" fillId="0" borderId="0"/>
    <xf numFmtId="0" fontId="32" fillId="3" borderId="2"/>
    <xf numFmtId="0" fontId="8" fillId="0" borderId="2"/>
    <xf numFmtId="49" fontId="32" fillId="2" borderId="2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0" borderId="0"/>
    <xf numFmtId="0" fontId="1" fillId="19" borderId="14" applyNumberFormat="0" applyFont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49" fontId="14" fillId="0" borderId="2"/>
    <xf numFmtId="164" fontId="14" fillId="7" borderId="2"/>
    <xf numFmtId="0" fontId="35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40" applyAlignment="1">
      <alignment horizontal="center"/>
    </xf>
    <xf numFmtId="11" fontId="2" fillId="0" borderId="0" xfId="40" applyNumberFormat="1" applyAlignment="1">
      <alignment horizontal="center"/>
    </xf>
    <xf numFmtId="2" fontId="2" fillId="0" borderId="0" xfId="40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14" fillId="0" borderId="0" xfId="0" quotePrefix="1" applyFont="1" applyAlignment="1">
      <alignment horizontal="center"/>
    </xf>
    <xf numFmtId="0" fontId="0" fillId="0" borderId="0" xfId="0"/>
    <xf numFmtId="0" fontId="0" fillId="0" borderId="0" xfId="0" applyAlignment="1">
      <alignment wrapText="1"/>
    </xf>
    <xf numFmtId="0" fontId="0" fillId="0" borderId="3" xfId="0" applyBorder="1"/>
    <xf numFmtId="0" fontId="15" fillId="9" borderId="0" xfId="53"/>
    <xf numFmtId="0" fontId="13" fillId="10" borderId="1" xfId="1" applyAlignment="1">
      <alignment wrapText="1"/>
    </xf>
    <xf numFmtId="0" fontId="8" fillId="12" borderId="1" xfId="60" applyAlignment="1">
      <alignment wrapText="1"/>
    </xf>
    <xf numFmtId="49" fontId="3" fillId="0" borderId="2" xfId="50"/>
    <xf numFmtId="164" fontId="4" fillId="0" borderId="2" xfId="67"/>
    <xf numFmtId="0" fontId="14" fillId="0" borderId="2" xfId="62"/>
    <xf numFmtId="0" fontId="8" fillId="0" borderId="2" xfId="59"/>
    <xf numFmtId="49" fontId="8" fillId="0" borderId="2" xfId="59" applyNumberFormat="1"/>
    <xf numFmtId="0" fontId="8" fillId="0" borderId="0" xfId="56" applyAlignment="1">
      <alignment horizontal="right"/>
    </xf>
    <xf numFmtId="0" fontId="9" fillId="5" borderId="2" xfId="66"/>
    <xf numFmtId="49" fontId="9" fillId="5" borderId="2" xfId="58"/>
    <xf numFmtId="49" fontId="8" fillId="0" borderId="0" xfId="59" applyNumberFormat="1" applyBorder="1" applyAlignment="1"/>
    <xf numFmtId="49" fontId="8" fillId="0" borderId="3" xfId="59" applyNumberFormat="1" applyBorder="1" applyAlignment="1">
      <alignment vertical="top"/>
    </xf>
    <xf numFmtId="0" fontId="14" fillId="0" borderId="3" xfId="62" applyBorder="1"/>
    <xf numFmtId="0" fontId="9" fillId="8" borderId="2" xfId="51"/>
    <xf numFmtId="49" fontId="3" fillId="0" borderId="2" xfId="50" applyNumberFormat="1"/>
    <xf numFmtId="0" fontId="13" fillId="11" borderId="1" xfId="52" applyAlignment="1">
      <alignment horizontal="centerContinuous" wrapText="1"/>
    </xf>
    <xf numFmtId="164" fontId="10" fillId="5" borderId="2" xfId="63"/>
    <xf numFmtId="49" fontId="3" fillId="0" borderId="2" xfId="50" quotePrefix="1"/>
    <xf numFmtId="49" fontId="3" fillId="0" borderId="0" xfId="50" applyNumberFormat="1" applyBorder="1" applyAlignment="1"/>
    <xf numFmtId="49" fontId="3" fillId="0" borderId="2" xfId="50" applyAlignment="1">
      <alignment wrapText="1"/>
    </xf>
    <xf numFmtId="49" fontId="35" fillId="0" borderId="2" xfId="94" applyNumberFormat="1" applyBorder="1" applyAlignment="1">
      <alignment wrapText="1"/>
    </xf>
    <xf numFmtId="49" fontId="35" fillId="0" borderId="2" xfId="94" applyNumberFormat="1" applyBorder="1"/>
    <xf numFmtId="0" fontId="8" fillId="0" borderId="0" xfId="59" applyBorder="1" applyAlignment="1"/>
    <xf numFmtId="0" fontId="36" fillId="0" borderId="2" xfId="94" applyFont="1" applyBorder="1"/>
    <xf numFmtId="0" fontId="37" fillId="0" borderId="2" xfId="94" applyFont="1" applyBorder="1"/>
    <xf numFmtId="49" fontId="33" fillId="0" borderId="2" xfId="50" applyFont="1"/>
    <xf numFmtId="0" fontId="33" fillId="0" borderId="2" xfId="62" applyFont="1"/>
    <xf numFmtId="0" fontId="34" fillId="0" borderId="2" xfId="59" applyFont="1"/>
    <xf numFmtId="0" fontId="33" fillId="8" borderId="2" xfId="51" applyFont="1"/>
    <xf numFmtId="49" fontId="33" fillId="5" borderId="2" xfId="58" applyFont="1"/>
    <xf numFmtId="0" fontId="34" fillId="0" borderId="0" xfId="59" applyFont="1" applyBorder="1" applyAlignment="1"/>
    <xf numFmtId="0" fontId="11" fillId="9" borderId="0" xfId="65"/>
    <xf numFmtId="0" fontId="13" fillId="11" borderId="4" xfId="52" applyBorder="1" applyAlignment="1">
      <alignment horizontal="center" wrapText="1"/>
    </xf>
    <xf numFmtId="0" fontId="13" fillId="11" borderId="6" xfId="52" applyBorder="1" applyAlignment="1">
      <alignment horizontal="center" wrapText="1"/>
    </xf>
    <xf numFmtId="0" fontId="13" fillId="11" borderId="5" xfId="52" applyBorder="1" applyAlignment="1">
      <alignment horizontal="center" wrapText="1"/>
    </xf>
  </cellXfs>
  <cellStyles count="95">
    <cellStyle name="20% - Accent1" xfId="23" builtinId="30" customBuiltin="1"/>
    <cellStyle name="20% - Accent1 2" xfId="72" xr:uid="{00000000-0005-0000-0000-000001000000}"/>
    <cellStyle name="20% - Accent2" xfId="26" builtinId="34" customBuiltin="1"/>
    <cellStyle name="20% - Accent2 2" xfId="74" xr:uid="{00000000-0005-0000-0000-000003000000}"/>
    <cellStyle name="20% - Accent3" xfId="29" builtinId="38" customBuiltin="1"/>
    <cellStyle name="20% - Accent3 2" xfId="76" xr:uid="{00000000-0005-0000-0000-000005000000}"/>
    <cellStyle name="20% - Accent4" xfId="32" builtinId="42" customBuiltin="1"/>
    <cellStyle name="20% - Accent4 2" xfId="78" xr:uid="{00000000-0005-0000-0000-000007000000}"/>
    <cellStyle name="20% - Accent5" xfId="35" builtinId="46" customBuiltin="1"/>
    <cellStyle name="20% - Accent5 2" xfId="80" xr:uid="{00000000-0005-0000-0000-000009000000}"/>
    <cellStyle name="20% - Accent6" xfId="38" builtinId="50" customBuiltin="1"/>
    <cellStyle name="20% - Accent6 2" xfId="82" xr:uid="{00000000-0005-0000-0000-00000B000000}"/>
    <cellStyle name="40% - Accent1" xfId="24" builtinId="31" customBuiltin="1"/>
    <cellStyle name="40% - Accent1 2" xfId="73" xr:uid="{00000000-0005-0000-0000-00000D000000}"/>
    <cellStyle name="40% - Accent2" xfId="27" builtinId="35" customBuiltin="1"/>
    <cellStyle name="40% - Accent2 2" xfId="75" xr:uid="{00000000-0005-0000-0000-00000F000000}"/>
    <cellStyle name="40% - Accent3" xfId="30" builtinId="39" customBuiltin="1"/>
    <cellStyle name="40% - Accent3 2" xfId="77" xr:uid="{00000000-0005-0000-0000-000011000000}"/>
    <cellStyle name="40% - Accent4" xfId="33" builtinId="43" customBuiltin="1"/>
    <cellStyle name="40% - Accent4 2" xfId="79" xr:uid="{00000000-0005-0000-0000-000013000000}"/>
    <cellStyle name="40% - Accent5" xfId="36" builtinId="47" customBuiltin="1"/>
    <cellStyle name="40% - Accent5 2" xfId="81" xr:uid="{00000000-0005-0000-0000-000015000000}"/>
    <cellStyle name="40% - Accent6" xfId="39" builtinId="51" customBuiltin="1"/>
    <cellStyle name="40% - Accent6 2" xfId="83" xr:uid="{00000000-0005-0000-0000-000017000000}"/>
    <cellStyle name="60% - Accent1 2" xfId="44" xr:uid="{00000000-0005-0000-0000-000018000000}"/>
    <cellStyle name="60% - Accent1 2 2" xfId="86" xr:uid="{00000000-0005-0000-0000-000019000000}"/>
    <cellStyle name="60% - Accent2 2" xfId="45" xr:uid="{00000000-0005-0000-0000-00001A000000}"/>
    <cellStyle name="60% - Accent2 2 2" xfId="87" xr:uid="{00000000-0005-0000-0000-00001B000000}"/>
    <cellStyle name="60% - Accent3 2" xfId="46" xr:uid="{00000000-0005-0000-0000-00001C000000}"/>
    <cellStyle name="60% - Accent3 2 2" xfId="88" xr:uid="{00000000-0005-0000-0000-00001D000000}"/>
    <cellStyle name="60% - Accent4 2" xfId="47" xr:uid="{00000000-0005-0000-0000-00001E000000}"/>
    <cellStyle name="60% - Accent4 2 2" xfId="89" xr:uid="{00000000-0005-0000-0000-00001F000000}"/>
    <cellStyle name="60% - Accent5 2" xfId="48" xr:uid="{00000000-0005-0000-0000-000020000000}"/>
    <cellStyle name="60% - Accent5 2 2" xfId="90" xr:uid="{00000000-0005-0000-0000-000021000000}"/>
    <cellStyle name="60% - Accent6 2" xfId="49" xr:uid="{00000000-0005-0000-0000-000022000000}"/>
    <cellStyle name="60% - Accent6 2 2" xfId="91" xr:uid="{00000000-0005-0000-0000-000023000000}"/>
    <cellStyle name="Accent1" xfId="22" builtinId="29" customBuiltin="1"/>
    <cellStyle name="Accent2" xfId="25" builtinId="33" customBuiltin="1"/>
    <cellStyle name="Accent3" xfId="28" builtinId="37" customBuiltin="1"/>
    <cellStyle name="Accent4" xfId="31" builtinId="41" customBuiltin="1"/>
    <cellStyle name="Accent5" xfId="34" builtinId="45" customBuiltin="1"/>
    <cellStyle name="Accent6" xfId="37" builtinId="49" customBuiltin="1"/>
    <cellStyle name="Bad" xfId="13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94" builtinId="8"/>
    <cellStyle name="Input" xfId="14" builtinId="20" customBuiltin="1"/>
    <cellStyle name="Linked Cell" xfId="17" builtinId="24" customBuiltin="1"/>
    <cellStyle name="Neutral 2" xfId="42" xr:uid="{00000000-0005-0000-0000-000036000000}"/>
    <cellStyle name="Normal" xfId="0" builtinId="0"/>
    <cellStyle name="Normal 2" xfId="40" xr:uid="{00000000-0005-0000-0000-000038000000}"/>
    <cellStyle name="Normal 2 2" xfId="84" xr:uid="{00000000-0005-0000-0000-000039000000}"/>
    <cellStyle name="Normal 3" xfId="68" xr:uid="{00000000-0005-0000-0000-00003A000000}"/>
    <cellStyle name="Note 2" xfId="43" xr:uid="{00000000-0005-0000-0000-00003B000000}"/>
    <cellStyle name="Note 2 2" xfId="85" xr:uid="{00000000-0005-0000-0000-00003C000000}"/>
    <cellStyle name="Output" xfId="15" builtinId="21" customBuiltin="1"/>
    <cellStyle name="terColOpt" xfId="60" xr:uid="{00000000-0005-0000-0000-00003E000000}"/>
    <cellStyle name="terColReqd" xfId="1" xr:uid="{00000000-0005-0000-0000-00003F000000}"/>
    <cellStyle name="terColTop" xfId="52" xr:uid="{00000000-0005-0000-0000-000040000000}"/>
    <cellStyle name="terEngr" xfId="67" xr:uid="{00000000-0005-0000-0000-000041000000}"/>
    <cellStyle name="terEngr__i" xfId="63" xr:uid="{00000000-0005-0000-0000-000042000000}"/>
    <cellStyle name="terEngrBack" xfId="2" xr:uid="{00000000-0005-0000-0000-000043000000}"/>
    <cellStyle name="terEngrFore" xfId="3" xr:uid="{00000000-0005-0000-0000-000044000000}"/>
    <cellStyle name="terEngrReadOnly" xfId="54" xr:uid="{00000000-0005-0000-0000-000045000000}"/>
    <cellStyle name="terError" xfId="55" xr:uid="{00000000-0005-0000-0000-000046000000}"/>
    <cellStyle name="terError 2" xfId="93" xr:uid="{00000000-0005-0000-0000-000047000000}"/>
    <cellStyle name="terError__i" xfId="64" xr:uid="{00000000-0005-0000-0000-000048000000}"/>
    <cellStyle name="terGroup" xfId="59" xr:uid="{00000000-0005-0000-0000-000049000000}"/>
    <cellStyle name="terGroup__i" xfId="51" xr:uid="{00000000-0005-0000-0000-00004A000000}"/>
    <cellStyle name="terGroupBack" xfId="4" xr:uid="{00000000-0005-0000-0000-00004B000000}"/>
    <cellStyle name="terGroupBack 2" xfId="69" xr:uid="{00000000-0005-0000-0000-00004C000000}"/>
    <cellStyle name="terGroupFore" xfId="5" xr:uid="{00000000-0005-0000-0000-00004D000000}"/>
    <cellStyle name="terGroupFore 2" xfId="70" xr:uid="{00000000-0005-0000-0000-00004E000000}"/>
    <cellStyle name="terLabel" xfId="56" xr:uid="{00000000-0005-0000-0000-00004F000000}"/>
    <cellStyle name="terNormal" xfId="62" xr:uid="{00000000-0005-0000-0000-000050000000}"/>
    <cellStyle name="terNormal__i" xfId="66" xr:uid="{00000000-0005-0000-0000-000051000000}"/>
    <cellStyle name="terNormalReadOnly" xfId="57" xr:uid="{00000000-0005-0000-0000-000052000000}"/>
    <cellStyle name="terReadOnly" xfId="6" xr:uid="{00000000-0005-0000-0000-000053000000}"/>
    <cellStyle name="terText" xfId="50" xr:uid="{00000000-0005-0000-0000-000054000000}"/>
    <cellStyle name="terText 2" xfId="92" xr:uid="{00000000-0005-0000-0000-000055000000}"/>
    <cellStyle name="terText__i" xfId="58" xr:uid="{00000000-0005-0000-0000-000056000000}"/>
    <cellStyle name="terTextBack" xfId="7" xr:uid="{00000000-0005-0000-0000-000057000000}"/>
    <cellStyle name="terTextBack 2" xfId="71" xr:uid="{00000000-0005-0000-0000-000058000000}"/>
    <cellStyle name="terTitle" xfId="65" xr:uid="{00000000-0005-0000-0000-000059000000}"/>
    <cellStyle name="terTitleBar" xfId="61" xr:uid="{00000000-0005-0000-0000-00005A000000}"/>
    <cellStyle name="terVersion" xfId="53" xr:uid="{00000000-0005-0000-0000-00005B000000}"/>
    <cellStyle name="Title 2" xfId="41" xr:uid="{00000000-0005-0000-0000-00005C000000}"/>
    <cellStyle name="Total" xfId="21" builtinId="25" customBuiltin="1"/>
    <cellStyle name="Warning Text" xfId="19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3399"/>
      <rgbColor rgb="00D2EBFF"/>
      <rgbColor rgb="00FFC0C0"/>
      <rgbColor rgb="00E0E0E0"/>
      <rgbColor rgb="000000FF"/>
      <rgbColor rgb="00FF0000"/>
      <rgbColor rgb="00008000"/>
      <rgbColor rgb="00008080"/>
      <rgbColor rgb="00FFFFFF"/>
      <rgbColor rgb="00000000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0</xdr:row>
      <xdr:rowOff>63500</xdr:rowOff>
    </xdr:from>
    <xdr:to>
      <xdr:col>4</xdr:col>
      <xdr:colOff>1257300</xdr:colOff>
      <xdr:row>0</xdr:row>
      <xdr:rowOff>317500</xdr:rowOff>
    </xdr:to>
    <xdr:pic macro="tl_dt_AEgg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12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63500</xdr:rowOff>
    </xdr:from>
    <xdr:to>
      <xdr:col>9</xdr:col>
      <xdr:colOff>361950</xdr:colOff>
      <xdr:row>0</xdr:row>
      <xdr:rowOff>317500</xdr:rowOff>
    </xdr:to>
    <xdr:pic macro="tl_dt_AEgg"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63500"/>
          <a:ext cx="1231900" cy="2540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0</xdr:rowOff>
    </xdr:from>
    <xdr:to>
      <xdr:col>0</xdr:col>
      <xdr:colOff>355600</xdr:colOff>
      <xdr:row>5</xdr:row>
      <xdr:rowOff>0</xdr:rowOff>
    </xdr:to>
    <xdr:sp macro="" textlink="">
      <xdr:nvSpPr>
        <xdr:cNvPr id="5" name="Right Arrow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152400" y="1009650"/>
          <a:ext cx="203200" cy="228600"/>
        </a:xfrm>
        <a:prstGeom prst="rightArrow">
          <a:avLst>
            <a:gd name="adj1" fmla="val 50000"/>
            <a:gd name="adj2" fmla="val 30000"/>
          </a:avLst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4</xdr:row>
          <xdr:rowOff>7620</xdr:rowOff>
        </xdr:from>
        <xdr:to>
          <xdr:col>7</xdr:col>
          <xdr:colOff>190500</xdr:colOff>
          <xdr:row>4</xdr:row>
          <xdr:rowOff>213360</xdr:rowOff>
        </xdr:to>
        <xdr:sp macro="" textlink="">
          <xdr:nvSpPr>
            <xdr:cNvPr id="31088" name="ComboBox21" hidden="1">
              <a:extLst>
                <a:ext uri="{63B3BB69-23CF-44E3-9099-C40C66FF867C}">
                  <a14:compatExt spid="_x0000_s31088"/>
                </a:ext>
                <a:ext uri="{FF2B5EF4-FFF2-40B4-BE49-F238E27FC236}">
                  <a16:creationId xmlns:a16="http://schemas.microsoft.com/office/drawing/2014/main" id="{00000000-0008-0000-0100-000070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7</xdr:row>
          <xdr:rowOff>7620</xdr:rowOff>
        </xdr:from>
        <xdr:to>
          <xdr:col>7</xdr:col>
          <xdr:colOff>190500</xdr:colOff>
          <xdr:row>7</xdr:row>
          <xdr:rowOff>213360</xdr:rowOff>
        </xdr:to>
        <xdr:sp macro="" textlink="">
          <xdr:nvSpPr>
            <xdr:cNvPr id="31089" name="ComboBox22" hidden="1">
              <a:extLst>
                <a:ext uri="{63B3BB69-23CF-44E3-9099-C40C66FF867C}">
                  <a14:compatExt spid="_x0000_s31089"/>
                </a:ext>
                <a:ext uri="{FF2B5EF4-FFF2-40B4-BE49-F238E27FC236}">
                  <a16:creationId xmlns:a16="http://schemas.microsoft.com/office/drawing/2014/main" id="{00000000-0008-0000-0100-000071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11</xdr:row>
          <xdr:rowOff>7620</xdr:rowOff>
        </xdr:from>
        <xdr:to>
          <xdr:col>7</xdr:col>
          <xdr:colOff>190500</xdr:colOff>
          <xdr:row>11</xdr:row>
          <xdr:rowOff>213360</xdr:rowOff>
        </xdr:to>
        <xdr:sp macro="" textlink="">
          <xdr:nvSpPr>
            <xdr:cNvPr id="31090" name="ComboBox23" hidden="1">
              <a:extLst>
                <a:ext uri="{63B3BB69-23CF-44E3-9099-C40C66FF867C}">
                  <a14:compatExt spid="_x0000_s31090"/>
                </a:ext>
                <a:ext uri="{FF2B5EF4-FFF2-40B4-BE49-F238E27FC236}">
                  <a16:creationId xmlns:a16="http://schemas.microsoft.com/office/drawing/2014/main" id="{00000000-0008-0000-0100-000072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6</xdr:col>
      <xdr:colOff>361950</xdr:colOff>
      <xdr:row>0</xdr:row>
      <xdr:rowOff>317500</xdr:rowOff>
    </xdr:to>
    <xdr:pic macro="tl_dt_AEgg"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</xdr:row>
          <xdr:rowOff>7620</xdr:rowOff>
        </xdr:from>
        <xdr:to>
          <xdr:col>2</xdr:col>
          <xdr:colOff>190500</xdr:colOff>
          <xdr:row>6</xdr:row>
          <xdr:rowOff>213360</xdr:rowOff>
        </xdr:to>
        <xdr:sp macro="" textlink="">
          <xdr:nvSpPr>
            <xdr:cNvPr id="41044" name="ComboBox23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3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7</xdr:col>
      <xdr:colOff>647700</xdr:colOff>
      <xdr:row>0</xdr:row>
      <xdr:rowOff>317500</xdr:rowOff>
    </xdr:to>
    <xdr:pic macro="tl_dt_AEgg"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63500"/>
          <a:ext cx="1231900" cy="2540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</xdr:row>
      <xdr:rowOff>0</xdr:rowOff>
    </xdr:from>
    <xdr:to>
      <xdr:col>0</xdr:col>
      <xdr:colOff>355600</xdr:colOff>
      <xdr:row>4</xdr:row>
      <xdr:rowOff>0</xdr:rowOff>
    </xdr:to>
    <xdr:sp macro="" textlink="">
      <xdr:nvSpPr>
        <xdr:cNvPr id="5" name="Right Arrow 4" hidden="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 bwMode="auto">
        <a:xfrm>
          <a:off x="152400" y="838200"/>
          <a:ext cx="203200" cy="228600"/>
        </a:xfrm>
        <a:prstGeom prst="rightArrow">
          <a:avLst>
            <a:gd name="adj1" fmla="val 50000"/>
            <a:gd name="adj2" fmla="val 30000"/>
          </a:avLst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387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7620</xdr:rowOff>
        </xdr:from>
        <xdr:to>
          <xdr:col>2</xdr:col>
          <xdr:colOff>190500</xdr:colOff>
          <xdr:row>3</xdr:row>
          <xdr:rowOff>213360</xdr:rowOff>
        </xdr:to>
        <xdr:sp macro="" textlink="">
          <xdr:nvSpPr>
            <xdr:cNvPr id="45152" name="ComboBox21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8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3500"/>
          <a:ext cx="1231900" cy="25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PROGRA~1/Teradyne/IG-XL/bin/DataTo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8"/>
  <sheetViews>
    <sheetView showGridLines="0" workbookViewId="0">
      <pane ySplit="3" topLeftCell="A4" activePane="bottomLeft" state="frozen"/>
      <selection pane="bottomLeft" activeCell="G20" sqref="G20"/>
    </sheetView>
  </sheetViews>
  <sheetFormatPr defaultRowHeight="18.600000000000001" customHeight="1" x14ac:dyDescent="0.25"/>
  <cols>
    <col min="2" max="2" width="17.5546875" customWidth="1"/>
    <col min="3" max="6" width="21.88671875" customWidth="1"/>
    <col min="7" max="7" width="42.88671875" customWidth="1"/>
  </cols>
  <sheetData>
    <row r="1" spans="1:7" ht="24.6" x14ac:dyDescent="0.4">
      <c r="A1" s="14" t="s">
        <v>169</v>
      </c>
      <c r="B1" s="46" t="s">
        <v>75</v>
      </c>
      <c r="C1" s="46"/>
      <c r="D1" s="46"/>
    </row>
    <row r="2" spans="1:7" ht="13.8" thickBot="1" x14ac:dyDescent="0.3"/>
    <row r="3" spans="1:7" s="12" customFormat="1" ht="13.8" thickBot="1" x14ac:dyDescent="0.3">
      <c r="B3" s="16" t="s">
        <v>74</v>
      </c>
      <c r="C3" s="16" t="s">
        <v>13</v>
      </c>
      <c r="D3" s="16" t="s">
        <v>14</v>
      </c>
      <c r="E3" s="16" t="s">
        <v>15</v>
      </c>
      <c r="F3" s="16" t="s">
        <v>16</v>
      </c>
      <c r="G3" s="16" t="s">
        <v>170</v>
      </c>
    </row>
    <row r="4" spans="1:7" s="12" customFormat="1" ht="13.2" x14ac:dyDescent="0.25">
      <c r="B4" s="17" t="s">
        <v>239</v>
      </c>
      <c r="C4" s="38" t="s">
        <v>239</v>
      </c>
      <c r="D4" s="34"/>
      <c r="E4" s="34"/>
      <c r="F4" s="34"/>
      <c r="G4" s="34"/>
    </row>
    <row r="5" spans="1:7" s="12" customFormat="1" ht="13.2" x14ac:dyDescent="0.25">
      <c r="B5" s="17" t="s">
        <v>70</v>
      </c>
      <c r="C5" s="39" t="s">
        <v>70</v>
      </c>
      <c r="D5" s="34"/>
      <c r="E5" s="34"/>
      <c r="F5" s="34"/>
      <c r="G5" s="34"/>
    </row>
    <row r="6" spans="1:7" s="12" customFormat="1" ht="13.2" x14ac:dyDescent="0.25">
      <c r="B6" s="17" t="s">
        <v>12</v>
      </c>
      <c r="C6" s="38" t="s">
        <v>12</v>
      </c>
      <c r="D6" s="34"/>
      <c r="E6" s="34"/>
      <c r="F6" s="34"/>
      <c r="G6" s="34"/>
    </row>
    <row r="7" spans="1:7" s="12" customFormat="1" ht="13.2" x14ac:dyDescent="0.25">
      <c r="B7" s="17" t="s">
        <v>281</v>
      </c>
      <c r="C7" s="38" t="s">
        <v>281</v>
      </c>
      <c r="D7" s="34"/>
      <c r="E7" s="34"/>
      <c r="F7" s="34"/>
      <c r="G7" s="34"/>
    </row>
    <row r="8" spans="1:7" s="12" customFormat="1" ht="13.2" x14ac:dyDescent="0.25">
      <c r="B8" s="17" t="s">
        <v>4</v>
      </c>
      <c r="C8" s="38" t="s">
        <v>414</v>
      </c>
      <c r="D8" s="34"/>
      <c r="E8" s="34"/>
      <c r="F8" s="34"/>
      <c r="G8" s="34"/>
    </row>
    <row r="9" spans="1:7" s="12" customFormat="1" ht="13.2" x14ac:dyDescent="0.25">
      <c r="B9" s="17" t="s">
        <v>48</v>
      </c>
      <c r="C9" s="38" t="s">
        <v>48</v>
      </c>
      <c r="D9" s="34"/>
      <c r="E9" s="34"/>
      <c r="F9" s="34"/>
      <c r="G9" s="34"/>
    </row>
    <row r="10" spans="1:7" s="12" customFormat="1" ht="13.2" x14ac:dyDescent="0.25">
      <c r="A10" s="11"/>
      <c r="B10" s="17" t="s">
        <v>269</v>
      </c>
      <c r="C10" s="38" t="s">
        <v>311</v>
      </c>
      <c r="D10" s="34"/>
      <c r="E10" s="34"/>
      <c r="F10" s="17"/>
      <c r="G10" s="34" t="s">
        <v>415</v>
      </c>
    </row>
    <row r="11" spans="1:7" s="12" customFormat="1" ht="13.2" x14ac:dyDescent="0.25">
      <c r="A11" s="11"/>
      <c r="B11" s="17" t="s">
        <v>269</v>
      </c>
      <c r="C11" s="38" t="s">
        <v>340</v>
      </c>
      <c r="D11" s="35" t="s">
        <v>14</v>
      </c>
      <c r="E11" s="34"/>
      <c r="F11" s="36" t="s">
        <v>377</v>
      </c>
      <c r="G11" s="34" t="s">
        <v>415</v>
      </c>
    </row>
    <row r="12" spans="1:7" s="12" customFormat="1" ht="13.2" x14ac:dyDescent="0.25">
      <c r="A12" s="11"/>
      <c r="B12" s="17" t="s">
        <v>269</v>
      </c>
      <c r="C12" s="38" t="s">
        <v>339</v>
      </c>
      <c r="D12" s="34"/>
      <c r="E12" s="34"/>
      <c r="F12" s="17"/>
      <c r="G12" s="34" t="s">
        <v>415</v>
      </c>
    </row>
    <row r="13" spans="1:7" ht="18.600000000000001" customHeight="1" x14ac:dyDescent="0.25">
      <c r="B13" s="29"/>
      <c r="C13" s="17"/>
      <c r="D13" s="34"/>
      <c r="E13" s="34"/>
      <c r="F13" s="34"/>
      <c r="G13" s="34"/>
    </row>
    <row r="14" spans="1:7" ht="18.600000000000001" customHeight="1" x14ac:dyDescent="0.25">
      <c r="D14" s="12"/>
      <c r="E14" s="12"/>
      <c r="F14" s="12"/>
      <c r="G14" s="12"/>
    </row>
    <row r="15" spans="1:7" ht="18.600000000000001" customHeight="1" x14ac:dyDescent="0.25">
      <c r="D15" s="12"/>
      <c r="E15" s="12"/>
      <c r="F15" s="12"/>
      <c r="G15" s="12"/>
    </row>
    <row r="16" spans="1:7" ht="18.600000000000001" customHeight="1" x14ac:dyDescent="0.25">
      <c r="D16" s="12"/>
      <c r="E16" s="12"/>
      <c r="F16" s="12"/>
      <c r="G16" s="12"/>
    </row>
    <row r="17" spans="4:7" ht="18.600000000000001" customHeight="1" x14ac:dyDescent="0.25">
      <c r="D17" s="12"/>
      <c r="E17" s="12"/>
      <c r="F17" s="12"/>
      <c r="G17" s="12"/>
    </row>
    <row r="18" spans="4:7" ht="18.600000000000001" customHeight="1" x14ac:dyDescent="0.25">
      <c r="D18" s="12"/>
      <c r="E18" s="12"/>
      <c r="F18" s="12"/>
      <c r="G18" s="12"/>
    </row>
  </sheetData>
  <sheetProtection sheet="1" objects="1" scenarios="1" insertHyperlinks="0" autoFilter="0"/>
  <mergeCells count="1">
    <mergeCell ref="B1:D1"/>
  </mergeCells>
  <hyperlinks>
    <hyperlink ref="C4" location="'Channel Map'!$A$1" display="Channel Map" xr:uid="{00000000-0004-0000-0000-000000000000}"/>
    <hyperlink ref="C5" location="'Flow Table'!$A$1" display="Flow Table" xr:uid="{00000000-0004-0000-0000-000001000000}"/>
    <hyperlink ref="C6" location="'Global Specs'!$A$1" display="Global Specs" xr:uid="{00000000-0004-0000-0000-000002000000}"/>
    <hyperlink ref="C7" location="'Pattern Sets'!$A$1" display="Pattern Sets" xr:uid="{00000000-0004-0000-0000-000003000000}"/>
    <hyperlink ref="C8" location="'Pinmap'!$A$1" display="Pinmap" xr:uid="{00000000-0004-0000-0000-000004000000}"/>
    <hyperlink ref="C9" location="'Test Instances'!$A$1" display="Test Instances" xr:uid="{00000000-0004-0000-0000-000005000000}"/>
    <hyperlink ref="C10" location="'Test Instances'!$B$5" display="initialize_1" xr:uid="{00000000-0004-0000-0000-000006000000}"/>
    <hyperlink ref="C11" location="'Test Instances'!$B$7" display="Continuity" xr:uid="{00000000-0004-0000-0000-000007000000}"/>
    <hyperlink ref="D11" location="'Time Sets'!$A$1" display="Time Sets" xr:uid="{00000000-0004-0000-0000-000008000000}"/>
    <hyperlink ref="F11" location="'Levels'!$A$1" display="Levels" xr:uid="{00000000-0004-0000-0000-000009000000}"/>
    <hyperlink ref="C12" location="'Test Instances'!$B$17" display="conclusions" xr:uid="{00000000-0004-0000-0000-00000A0000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outlinePr summaryBelow="0" summaryRight="0"/>
  </sheetPr>
  <dimension ref="A1:AL18"/>
  <sheetViews>
    <sheetView showGridLines="0" tabSelected="1" zoomScaleNormal="100" zoomScaleSheetLayoutView="160" workbookViewId="0">
      <pane ySplit="4" topLeftCell="A5" activePane="bottomLeft" state="frozen"/>
      <selection pane="bottomLeft" activeCell="E16" sqref="E16"/>
    </sheetView>
  </sheetViews>
  <sheetFormatPr defaultColWidth="9.109375" defaultRowHeight="18.600000000000001" customHeight="1" outlineLevelCol="1" x14ac:dyDescent="0.25"/>
  <cols>
    <col min="1" max="6" width="9.109375" style="11"/>
    <col min="7" max="7" width="13.44140625" style="11" customWidth="1"/>
    <col min="8" max="8" width="21.88671875" style="11" customWidth="1"/>
    <col min="9" max="9" width="13.44140625" style="11" customWidth="1"/>
    <col min="10" max="12" width="9.109375" style="11"/>
    <col min="13" max="13" width="6.33203125" style="11" customWidth="1"/>
    <col min="14" max="15" width="9.109375" style="11"/>
    <col min="16" max="19" width="6.33203125" style="11" customWidth="1"/>
    <col min="20" max="20" width="9.109375" style="11" collapsed="1"/>
    <col min="21" max="24" width="9.109375" style="11" hidden="1" customWidth="1" outlineLevel="1"/>
    <col min="25" max="25" width="6.33203125" style="11" hidden="1" customWidth="1" outlineLevel="1"/>
    <col min="26" max="26" width="13.44140625" style="11" hidden="1" customWidth="1" outlineLevel="1"/>
    <col min="27" max="27" width="9.109375" style="11" hidden="1" customWidth="1" outlineLevel="1"/>
    <col min="28" max="28" width="6.33203125" style="11" hidden="1" customWidth="1" outlineLevel="1"/>
    <col min="29" max="29" width="13.44140625" style="11" hidden="1" customWidth="1" outlineLevel="1"/>
    <col min="30" max="32" width="9.109375" style="11" hidden="1" customWidth="1" outlineLevel="1"/>
    <col min="33" max="37" width="13.44140625" style="11" customWidth="1"/>
    <col min="38" max="38" width="42.88671875" style="11" customWidth="1"/>
    <col min="39" max="16384" width="9.109375" style="11"/>
  </cols>
  <sheetData>
    <row r="1" spans="1:38" ht="24.6" x14ac:dyDescent="0.4">
      <c r="A1" s="14" t="s">
        <v>180</v>
      </c>
      <c r="B1" s="46" t="s">
        <v>70</v>
      </c>
      <c r="C1" s="46"/>
      <c r="D1" s="46"/>
      <c r="E1" s="46"/>
      <c r="F1" s="46"/>
      <c r="G1" s="46"/>
      <c r="H1" s="46"/>
    </row>
    <row r="2" spans="1:38" ht="13.8" thickBot="1" x14ac:dyDescent="0.3">
      <c r="G2" s="22" t="s">
        <v>172</v>
      </c>
      <c r="H2" s="13"/>
    </row>
    <row r="3" spans="1:38" s="12" customFormat="1" ht="13.8" thickBot="1" x14ac:dyDescent="0.3">
      <c r="D3" s="47" t="s">
        <v>71</v>
      </c>
      <c r="E3" s="49"/>
      <c r="F3" s="48"/>
      <c r="G3" s="47" t="s">
        <v>51</v>
      </c>
      <c r="H3" s="48"/>
      <c r="K3" s="47" t="s">
        <v>133</v>
      </c>
      <c r="L3" s="48"/>
      <c r="M3" s="47" t="s">
        <v>168</v>
      </c>
      <c r="N3" s="49"/>
      <c r="O3" s="48"/>
      <c r="P3" s="47" t="s">
        <v>56</v>
      </c>
      <c r="Q3" s="48"/>
      <c r="R3" s="47" t="s">
        <v>59</v>
      </c>
      <c r="S3" s="48"/>
      <c r="U3" s="47" t="s">
        <v>181</v>
      </c>
      <c r="V3" s="48"/>
      <c r="X3" s="47" t="s">
        <v>62</v>
      </c>
      <c r="Y3" s="49"/>
      <c r="Z3" s="49"/>
      <c r="AA3" s="48"/>
      <c r="AB3" s="47" t="s">
        <v>66</v>
      </c>
      <c r="AC3" s="49"/>
      <c r="AD3" s="48"/>
      <c r="AE3" s="47" t="s">
        <v>67</v>
      </c>
      <c r="AF3" s="48"/>
      <c r="AG3" s="47" t="s">
        <v>183</v>
      </c>
      <c r="AH3" s="49"/>
      <c r="AI3" s="49"/>
      <c r="AJ3" s="49"/>
      <c r="AK3" s="48"/>
    </row>
    <row r="4" spans="1:38" s="12" customFormat="1" ht="27" thickBot="1" x14ac:dyDescent="0.3">
      <c r="B4" s="16" t="s">
        <v>49</v>
      </c>
      <c r="C4" s="16" t="s">
        <v>50</v>
      </c>
      <c r="D4" s="16" t="s">
        <v>10</v>
      </c>
      <c r="E4" s="16" t="s">
        <v>72</v>
      </c>
      <c r="F4" s="16" t="s">
        <v>73</v>
      </c>
      <c r="G4" s="15" t="s">
        <v>52</v>
      </c>
      <c r="H4" s="15" t="s">
        <v>53</v>
      </c>
      <c r="I4" s="16" t="s">
        <v>54</v>
      </c>
      <c r="J4" s="16" t="s">
        <v>55</v>
      </c>
      <c r="K4" s="16" t="s">
        <v>131</v>
      </c>
      <c r="L4" s="16" t="s">
        <v>132</v>
      </c>
      <c r="M4" s="16" t="s">
        <v>167</v>
      </c>
      <c r="N4" s="16" t="s">
        <v>166</v>
      </c>
      <c r="O4" s="16" t="s">
        <v>165</v>
      </c>
      <c r="P4" s="16" t="s">
        <v>57</v>
      </c>
      <c r="Q4" s="16" t="s">
        <v>58</v>
      </c>
      <c r="R4" s="16" t="s">
        <v>57</v>
      </c>
      <c r="S4" s="16" t="s">
        <v>58</v>
      </c>
      <c r="T4" s="16" t="s">
        <v>60</v>
      </c>
      <c r="U4" s="16" t="s">
        <v>57</v>
      </c>
      <c r="V4" s="16" t="s">
        <v>58</v>
      </c>
      <c r="W4" s="16" t="s">
        <v>61</v>
      </c>
      <c r="X4" s="16" t="s">
        <v>63</v>
      </c>
      <c r="Y4" s="16" t="s">
        <v>64</v>
      </c>
      <c r="Z4" s="16" t="s">
        <v>65</v>
      </c>
      <c r="AA4" s="16" t="s">
        <v>13</v>
      </c>
      <c r="AB4" s="16" t="s">
        <v>64</v>
      </c>
      <c r="AC4" s="16" t="s">
        <v>65</v>
      </c>
      <c r="AD4" s="16" t="s">
        <v>13</v>
      </c>
      <c r="AE4" s="16" t="s">
        <v>68</v>
      </c>
      <c r="AF4" s="16" t="s">
        <v>69</v>
      </c>
      <c r="AG4" s="16" t="s">
        <v>182</v>
      </c>
      <c r="AH4" s="16" t="s">
        <v>176</v>
      </c>
      <c r="AI4" s="16" t="s">
        <v>177</v>
      </c>
      <c r="AJ4" s="16" t="s">
        <v>178</v>
      </c>
      <c r="AK4" s="16" t="s">
        <v>179</v>
      </c>
      <c r="AL4" s="16" t="s">
        <v>3</v>
      </c>
    </row>
    <row r="5" spans="1:38" ht="18.600000000000001" customHeight="1" x14ac:dyDescent="0.25">
      <c r="B5" s="19"/>
      <c r="C5" s="19"/>
      <c r="D5" s="19"/>
      <c r="E5" s="19"/>
      <c r="F5" s="19"/>
      <c r="G5" s="25" t="s">
        <v>269</v>
      </c>
      <c r="H5" s="17" t="s">
        <v>311</v>
      </c>
      <c r="I5" s="19"/>
      <c r="J5" s="19"/>
      <c r="K5" s="23"/>
      <c r="L5" s="23"/>
      <c r="M5" s="23"/>
      <c r="N5" s="23"/>
      <c r="O5" s="24"/>
      <c r="P5" s="19"/>
      <c r="Q5" s="19"/>
      <c r="R5" s="19"/>
      <c r="S5" s="19"/>
      <c r="T5" s="19"/>
      <c r="U5" s="19"/>
      <c r="V5" s="19"/>
      <c r="W5" s="23"/>
      <c r="X5" s="19"/>
      <c r="Y5" s="19"/>
      <c r="Z5" s="19"/>
      <c r="AA5" s="23"/>
      <c r="AB5" s="19"/>
      <c r="AC5" s="19"/>
      <c r="AD5" s="23"/>
      <c r="AE5" s="19"/>
      <c r="AF5" s="19"/>
      <c r="AG5" s="19"/>
      <c r="AH5" s="19"/>
      <c r="AI5" s="17"/>
      <c r="AJ5" s="19"/>
      <c r="AK5" s="17"/>
      <c r="AL5" s="19"/>
    </row>
    <row r="6" spans="1:38" ht="18.600000000000001" customHeight="1" x14ac:dyDescent="0.25">
      <c r="B6" s="19"/>
      <c r="C6" s="19"/>
      <c r="D6" s="19"/>
      <c r="E6" s="19"/>
      <c r="F6" s="19"/>
      <c r="G6" s="20" t="s">
        <v>290</v>
      </c>
      <c r="H6" s="24" t="s">
        <v>303</v>
      </c>
      <c r="I6" s="23" t="s">
        <v>316</v>
      </c>
      <c r="J6" s="23"/>
      <c r="K6" s="23"/>
      <c r="L6" s="23"/>
      <c r="M6" s="23"/>
      <c r="N6" s="23"/>
      <c r="O6" s="24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19"/>
      <c r="AH6" s="19"/>
      <c r="AI6" s="17"/>
      <c r="AJ6" s="19"/>
      <c r="AK6" s="17"/>
      <c r="AL6" s="19"/>
    </row>
    <row r="7" spans="1:38" ht="18.600000000000001" customHeight="1" x14ac:dyDescent="0.25">
      <c r="B7" s="19"/>
      <c r="C7" s="19"/>
      <c r="D7" s="19"/>
      <c r="E7" s="19"/>
      <c r="F7" s="19"/>
      <c r="G7" s="20" t="s">
        <v>269</v>
      </c>
      <c r="H7" s="17" t="s">
        <v>340</v>
      </c>
      <c r="I7" s="19" t="s">
        <v>270</v>
      </c>
      <c r="J7" s="19"/>
      <c r="K7" s="23"/>
      <c r="L7" s="23"/>
      <c r="M7" s="23"/>
      <c r="N7" s="23"/>
      <c r="O7" s="24"/>
      <c r="P7" s="19"/>
      <c r="Q7" s="19"/>
      <c r="R7" s="19"/>
      <c r="S7" s="19"/>
      <c r="T7" s="19"/>
      <c r="U7" s="19"/>
      <c r="V7" s="19"/>
      <c r="W7" s="23"/>
      <c r="X7" s="19"/>
      <c r="Y7" s="19"/>
      <c r="Z7" s="19"/>
      <c r="AA7" s="23"/>
      <c r="AB7" s="19"/>
      <c r="AC7" s="19"/>
      <c r="AD7" s="23"/>
      <c r="AE7" s="19"/>
      <c r="AF7" s="19"/>
      <c r="AG7" s="19"/>
      <c r="AH7" s="19"/>
      <c r="AI7" s="17" t="s">
        <v>310</v>
      </c>
      <c r="AJ7" s="19"/>
      <c r="AK7" s="17" t="s">
        <v>310</v>
      </c>
      <c r="AL7" s="19"/>
    </row>
    <row r="8" spans="1:38" ht="18.600000000000001" customHeight="1" x14ac:dyDescent="0.25">
      <c r="B8" s="19"/>
      <c r="C8" s="19"/>
      <c r="D8" s="19"/>
      <c r="E8" s="19"/>
      <c r="F8" s="19"/>
      <c r="G8" s="45" t="s">
        <v>290</v>
      </c>
      <c r="H8" s="24" t="s">
        <v>308</v>
      </c>
      <c r="I8" s="23" t="s">
        <v>309</v>
      </c>
      <c r="J8" s="23"/>
      <c r="K8" s="23"/>
      <c r="L8" s="23"/>
      <c r="M8" s="23"/>
      <c r="N8" s="23"/>
      <c r="O8" s="24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19"/>
      <c r="AH8" s="19"/>
      <c r="AI8" s="17"/>
      <c r="AJ8" s="19"/>
      <c r="AK8" s="17"/>
      <c r="AL8" s="19"/>
    </row>
    <row r="9" spans="1:38" ht="18.600000000000001" customHeight="1" x14ac:dyDescent="0.25">
      <c r="B9" s="19"/>
      <c r="C9" s="19"/>
      <c r="D9" s="19"/>
      <c r="E9" s="19"/>
      <c r="F9" s="19"/>
      <c r="G9" s="20" t="s">
        <v>290</v>
      </c>
      <c r="H9" s="24" t="s">
        <v>312</v>
      </c>
      <c r="I9" s="23"/>
      <c r="J9" s="23"/>
      <c r="K9" s="23"/>
      <c r="L9" s="23"/>
      <c r="M9" s="23"/>
      <c r="N9" s="23"/>
      <c r="O9" s="24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19"/>
      <c r="AH9" s="19"/>
      <c r="AI9" s="17"/>
      <c r="AJ9" s="19"/>
      <c r="AK9" s="17"/>
      <c r="AL9" s="19"/>
    </row>
    <row r="10" spans="1:38" ht="18.600000000000001" customHeight="1" x14ac:dyDescent="0.25">
      <c r="B10" s="19"/>
      <c r="C10" s="19"/>
      <c r="D10" s="19"/>
      <c r="E10" s="19"/>
      <c r="F10" s="19"/>
      <c r="G10" s="20" t="s">
        <v>290</v>
      </c>
      <c r="H10" s="24" t="s">
        <v>313</v>
      </c>
      <c r="I10" s="23"/>
      <c r="J10" s="23"/>
      <c r="K10" s="23"/>
      <c r="L10" s="23"/>
      <c r="M10" s="23"/>
      <c r="N10" s="23"/>
      <c r="O10" s="24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19"/>
      <c r="AH10" s="19"/>
      <c r="AI10" s="17"/>
      <c r="AJ10" s="19"/>
      <c r="AK10" s="17"/>
      <c r="AL10" s="19"/>
    </row>
    <row r="11" spans="1:38" ht="18.600000000000001" customHeight="1" x14ac:dyDescent="0.25">
      <c r="B11" s="19"/>
      <c r="C11" s="19"/>
      <c r="D11" s="19"/>
      <c r="E11" s="19"/>
      <c r="F11" s="19"/>
      <c r="G11" s="20" t="s">
        <v>290</v>
      </c>
      <c r="H11" s="24" t="s">
        <v>314</v>
      </c>
      <c r="I11" s="23"/>
      <c r="J11" s="23"/>
      <c r="K11" s="23"/>
      <c r="L11" s="23"/>
      <c r="M11" s="23"/>
      <c r="N11" s="23"/>
      <c r="O11" s="24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19"/>
      <c r="AH11" s="19"/>
      <c r="AI11" s="17"/>
      <c r="AJ11" s="19"/>
      <c r="AK11" s="17"/>
      <c r="AL11" s="19"/>
    </row>
    <row r="12" spans="1:38" ht="18.600000000000001" customHeight="1" x14ac:dyDescent="0.25">
      <c r="B12" s="19"/>
      <c r="C12" s="19"/>
      <c r="D12" s="19"/>
      <c r="E12" s="19"/>
      <c r="F12" s="19"/>
      <c r="G12" s="37" t="s">
        <v>290</v>
      </c>
      <c r="H12" s="24" t="s">
        <v>358</v>
      </c>
      <c r="I12" s="23"/>
      <c r="J12" s="23"/>
      <c r="K12" s="23"/>
      <c r="L12" s="23"/>
      <c r="M12" s="23"/>
      <c r="N12" s="23"/>
      <c r="O12" s="24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19"/>
      <c r="AH12" s="19"/>
      <c r="AI12" s="17"/>
      <c r="AJ12" s="19"/>
      <c r="AK12" s="17"/>
      <c r="AL12" s="19"/>
    </row>
    <row r="13" spans="1:38" ht="18.600000000000001" customHeight="1" x14ac:dyDescent="0.25">
      <c r="B13" s="19"/>
      <c r="C13" s="19"/>
      <c r="D13" s="19"/>
      <c r="E13" s="19"/>
      <c r="F13" s="19"/>
      <c r="G13" s="20" t="s">
        <v>290</v>
      </c>
      <c r="H13" s="24" t="s">
        <v>324</v>
      </c>
      <c r="I13" s="23" t="s">
        <v>323</v>
      </c>
      <c r="J13" s="23"/>
      <c r="K13" s="23"/>
      <c r="L13" s="23"/>
      <c r="M13" s="23"/>
      <c r="N13" s="23"/>
      <c r="O13" s="24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19"/>
      <c r="AH13" s="19"/>
      <c r="AI13" s="17"/>
      <c r="AJ13" s="19"/>
      <c r="AK13" s="17"/>
      <c r="AL13" s="19"/>
    </row>
    <row r="14" spans="1:38" ht="18.600000000000001" customHeight="1" x14ac:dyDescent="0.25">
      <c r="B14" s="19"/>
      <c r="C14" s="19"/>
      <c r="D14" s="19"/>
      <c r="E14" s="19"/>
      <c r="F14" s="19"/>
      <c r="G14" s="20" t="s">
        <v>290</v>
      </c>
      <c r="H14" s="24" t="s">
        <v>319</v>
      </c>
      <c r="I14" s="23" t="s">
        <v>322</v>
      </c>
      <c r="J14" s="23"/>
      <c r="K14" s="23"/>
      <c r="L14" s="23"/>
      <c r="M14" s="23"/>
      <c r="N14" s="23"/>
      <c r="O14" s="24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19"/>
      <c r="AH14" s="19"/>
      <c r="AI14" s="17"/>
      <c r="AJ14" s="19"/>
      <c r="AK14" s="17"/>
      <c r="AL14" s="19"/>
    </row>
    <row r="15" spans="1:38" ht="18.600000000000001" customHeight="1" x14ac:dyDescent="0.25">
      <c r="B15" s="19"/>
      <c r="C15" s="19"/>
      <c r="D15" s="19"/>
      <c r="E15" s="19"/>
      <c r="F15" s="19"/>
      <c r="G15" s="20" t="s">
        <v>290</v>
      </c>
      <c r="H15" s="24" t="s">
        <v>343</v>
      </c>
      <c r="I15" s="23" t="s">
        <v>322</v>
      </c>
      <c r="J15" s="23"/>
      <c r="K15" s="23"/>
      <c r="L15" s="23"/>
      <c r="M15" s="23"/>
      <c r="N15" s="23"/>
      <c r="O15" s="24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19"/>
      <c r="AH15" s="19"/>
      <c r="AI15" s="17"/>
      <c r="AJ15" s="19"/>
      <c r="AK15" s="17"/>
      <c r="AL15" s="19"/>
    </row>
    <row r="16" spans="1:38" ht="18.600000000000001" customHeight="1" x14ac:dyDescent="0.25">
      <c r="B16" s="19"/>
      <c r="C16" s="19"/>
      <c r="D16" s="19"/>
      <c r="E16" s="19"/>
      <c r="F16" s="19"/>
      <c r="G16" s="20" t="s">
        <v>290</v>
      </c>
      <c r="H16" s="24" t="s">
        <v>362</v>
      </c>
      <c r="I16" s="23" t="s">
        <v>322</v>
      </c>
      <c r="J16" s="23"/>
      <c r="K16" s="23"/>
      <c r="L16" s="23"/>
      <c r="M16" s="23"/>
      <c r="N16" s="23"/>
      <c r="O16" s="24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19"/>
      <c r="AH16" s="19"/>
      <c r="AI16" s="17"/>
      <c r="AJ16" s="19"/>
      <c r="AK16" s="17"/>
      <c r="AL16" s="19"/>
    </row>
    <row r="17" spans="2:38" ht="18.600000000000001" customHeight="1" x14ac:dyDescent="0.25">
      <c r="B17" s="19"/>
      <c r="C17" s="19"/>
      <c r="D17" s="19"/>
      <c r="E17" s="19"/>
      <c r="F17" s="19"/>
      <c r="G17" s="20" t="s">
        <v>269</v>
      </c>
      <c r="H17" s="17" t="s">
        <v>339</v>
      </c>
      <c r="I17" s="19"/>
      <c r="J17" s="19"/>
      <c r="K17" s="23"/>
      <c r="L17" s="23"/>
      <c r="M17" s="23"/>
      <c r="N17" s="23"/>
      <c r="O17" s="24"/>
      <c r="P17" s="19"/>
      <c r="Q17" s="19"/>
      <c r="R17" s="19"/>
      <c r="S17" s="19"/>
      <c r="T17" s="19"/>
      <c r="U17" s="19"/>
      <c r="V17" s="19"/>
      <c r="W17" s="23"/>
      <c r="X17" s="19"/>
      <c r="Y17" s="19"/>
      <c r="Z17" s="19"/>
      <c r="AA17" s="23"/>
      <c r="AB17" s="19"/>
      <c r="AC17" s="19"/>
      <c r="AD17" s="23"/>
      <c r="AE17" s="19"/>
      <c r="AF17" s="19"/>
      <c r="AG17" s="19"/>
      <c r="AH17" s="19"/>
      <c r="AI17" s="17"/>
      <c r="AJ17" s="19"/>
      <c r="AK17" s="17"/>
      <c r="AL17" s="19"/>
    </row>
    <row r="18" spans="2:38" ht="18.600000000000001" customHeight="1" x14ac:dyDescent="0.25">
      <c r="B18" s="19"/>
      <c r="C18" s="19"/>
      <c r="D18" s="19"/>
      <c r="E18" s="19"/>
      <c r="F18" s="19"/>
      <c r="G18" s="20" t="s">
        <v>285</v>
      </c>
      <c r="H18" s="24"/>
      <c r="I18" s="23"/>
      <c r="J18" s="23"/>
      <c r="K18" s="23"/>
      <c r="L18" s="23"/>
      <c r="M18" s="23"/>
      <c r="N18" s="23"/>
      <c r="O18" s="24"/>
      <c r="P18" s="19">
        <v>1</v>
      </c>
      <c r="Q18" s="19"/>
      <c r="R18" s="19">
        <v>999</v>
      </c>
      <c r="S18" s="19"/>
      <c r="T18" s="19"/>
      <c r="U18" s="23"/>
      <c r="V18" s="23"/>
      <c r="W18" s="23"/>
      <c r="X18" s="19"/>
      <c r="Y18" s="19"/>
      <c r="Z18" s="19"/>
      <c r="AA18" s="23"/>
      <c r="AB18" s="19"/>
      <c r="AC18" s="19"/>
      <c r="AD18" s="23"/>
      <c r="AE18" s="23"/>
      <c r="AF18" s="23"/>
      <c r="AG18" s="19"/>
      <c r="AH18" s="19"/>
      <c r="AI18" s="17"/>
      <c r="AJ18" s="19"/>
      <c r="AK18" s="17"/>
      <c r="AL18" s="19"/>
    </row>
  </sheetData>
  <sheetProtection insertHyperlinks="0" autoFilter="0"/>
  <mergeCells count="12">
    <mergeCell ref="P3:Q3"/>
    <mergeCell ref="R3:S3"/>
    <mergeCell ref="B1:H1"/>
    <mergeCell ref="D3:F3"/>
    <mergeCell ref="G3:H3"/>
    <mergeCell ref="K3:L3"/>
    <mergeCell ref="M3:O3"/>
    <mergeCell ref="U3:V3"/>
    <mergeCell ref="X3:AA3"/>
    <mergeCell ref="AB3:AD3"/>
    <mergeCell ref="AE3:AF3"/>
    <mergeCell ref="AG3:AK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1088" r:id="rId4" name="ComboBox21">
          <controlPr defaultSize="0" autoLine="0" r:id="rId5">
            <anchor moveWithCells="1">
              <from>
                <xdr:col>6</xdr:col>
                <xdr:colOff>7620</xdr:colOff>
                <xdr:row>4</xdr:row>
                <xdr:rowOff>7620</xdr:rowOff>
              </from>
              <to>
                <xdr:col>7</xdr:col>
                <xdr:colOff>160020</xdr:colOff>
                <xdr:row>4</xdr:row>
                <xdr:rowOff>205740</xdr:rowOff>
              </to>
            </anchor>
          </controlPr>
        </control>
      </mc:Choice>
      <mc:Fallback>
        <control shapeId="31088" r:id="rId4" name="ComboBox21"/>
      </mc:Fallback>
    </mc:AlternateContent>
    <mc:AlternateContent xmlns:mc="http://schemas.openxmlformats.org/markup-compatibility/2006">
      <mc:Choice Requires="x14">
        <control shapeId="31089" r:id="rId6" name="ComboBox22">
          <controlPr defaultSize="0" autoLine="0" r:id="rId7">
            <anchor moveWithCells="1">
              <from>
                <xdr:col>6</xdr:col>
                <xdr:colOff>7620</xdr:colOff>
                <xdr:row>7</xdr:row>
                <xdr:rowOff>7620</xdr:rowOff>
              </from>
              <to>
                <xdr:col>7</xdr:col>
                <xdr:colOff>160020</xdr:colOff>
                <xdr:row>7</xdr:row>
                <xdr:rowOff>205740</xdr:rowOff>
              </to>
            </anchor>
          </controlPr>
        </control>
      </mc:Choice>
      <mc:Fallback>
        <control shapeId="31089" r:id="rId6" name="ComboBox22"/>
      </mc:Fallback>
    </mc:AlternateContent>
    <mc:AlternateContent xmlns:mc="http://schemas.openxmlformats.org/markup-compatibility/2006">
      <mc:Choice Requires="x14">
        <control shapeId="31090" r:id="rId8" name="ComboBox23">
          <controlPr defaultSize="0" autoLine="0" r:id="rId9">
            <anchor moveWithCells="1">
              <from>
                <xdr:col>6</xdr:col>
                <xdr:colOff>7620</xdr:colOff>
                <xdr:row>11</xdr:row>
                <xdr:rowOff>7620</xdr:rowOff>
              </from>
              <to>
                <xdr:col>7</xdr:col>
                <xdr:colOff>160020</xdr:colOff>
                <xdr:row>11</xdr:row>
                <xdr:rowOff>205740</xdr:rowOff>
              </to>
            </anchor>
          </controlPr>
        </control>
      </mc:Choice>
      <mc:Fallback>
        <control shapeId="31090" r:id="rId8" name="ComboBox2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outlinePr summaryBelow="0" summaryRight="0"/>
  </sheetPr>
  <dimension ref="A1:EO17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5" sqref="B5"/>
    </sheetView>
  </sheetViews>
  <sheetFormatPr defaultColWidth="9.109375" defaultRowHeight="18.600000000000001" customHeight="1" outlineLevelCol="1" x14ac:dyDescent="0.25"/>
  <cols>
    <col min="1" max="1" width="9.109375" style="11"/>
    <col min="2" max="2" width="27.33203125" style="11" customWidth="1"/>
    <col min="3" max="12" width="13.44140625" style="11" customWidth="1"/>
    <col min="13" max="13" width="18.88671875" style="11" customWidth="1"/>
    <col min="14" max="14" width="13.44140625" style="11" customWidth="1" collapsed="1"/>
    <col min="15" max="144" width="9.109375" style="11" hidden="1" customWidth="1" outlineLevel="1"/>
    <col min="145" max="145" width="42.88671875" style="11" customWidth="1"/>
    <col min="146" max="16384" width="9.109375" style="11"/>
  </cols>
  <sheetData>
    <row r="1" spans="1:145" ht="24.6" x14ac:dyDescent="0.4">
      <c r="A1" s="14" t="s">
        <v>171</v>
      </c>
      <c r="B1" s="46" t="s">
        <v>48</v>
      </c>
      <c r="C1" s="46"/>
      <c r="D1" s="46"/>
      <c r="E1" s="46"/>
    </row>
    <row r="2" spans="1:145" ht="13.8" thickBot="1" x14ac:dyDescent="0.3"/>
    <row r="3" spans="1:145" s="12" customFormat="1" ht="13.8" thickBot="1" x14ac:dyDescent="0.3">
      <c r="C3" s="47" t="s">
        <v>367</v>
      </c>
      <c r="D3" s="49"/>
      <c r="E3" s="48"/>
      <c r="F3" s="47" t="s">
        <v>369</v>
      </c>
      <c r="G3" s="48"/>
      <c r="H3" s="47" t="s">
        <v>370</v>
      </c>
      <c r="I3" s="48"/>
      <c r="J3" s="47" t="s">
        <v>373</v>
      </c>
      <c r="K3" s="49"/>
      <c r="L3" s="49"/>
      <c r="M3" s="48"/>
      <c r="O3" s="47" t="s">
        <v>374</v>
      </c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8"/>
    </row>
    <row r="4" spans="1:145" s="12" customFormat="1" ht="13.8" thickBot="1" x14ac:dyDescent="0.3">
      <c r="B4" s="15" t="s">
        <v>364</v>
      </c>
      <c r="C4" s="15" t="s">
        <v>2</v>
      </c>
      <c r="D4" s="15" t="s">
        <v>13</v>
      </c>
      <c r="E4" s="15" t="s">
        <v>365</v>
      </c>
      <c r="F4" s="16" t="s">
        <v>366</v>
      </c>
      <c r="G4" s="16" t="s">
        <v>368</v>
      </c>
      <c r="H4" s="16" t="s">
        <v>366</v>
      </c>
      <c r="I4" s="16" t="s">
        <v>368</v>
      </c>
      <c r="J4" s="16" t="s">
        <v>14</v>
      </c>
      <c r="K4" s="16" t="s">
        <v>15</v>
      </c>
      <c r="L4" s="16" t="s">
        <v>16</v>
      </c>
      <c r="M4" s="16" t="s">
        <v>371</v>
      </c>
      <c r="N4" s="16" t="s">
        <v>372</v>
      </c>
      <c r="O4" s="16" t="s">
        <v>412</v>
      </c>
      <c r="P4" s="16" t="s">
        <v>397</v>
      </c>
      <c r="Q4" s="16" t="s">
        <v>398</v>
      </c>
      <c r="R4" s="16" t="s">
        <v>399</v>
      </c>
      <c r="S4" s="16" t="s">
        <v>400</v>
      </c>
      <c r="T4" s="16" t="s">
        <v>401</v>
      </c>
      <c r="U4" s="16" t="s">
        <v>402</v>
      </c>
      <c r="V4" s="16" t="s">
        <v>403</v>
      </c>
      <c r="W4" s="16" t="s">
        <v>404</v>
      </c>
      <c r="X4" s="16" t="s">
        <v>405</v>
      </c>
      <c r="Y4" s="16" t="s">
        <v>406</v>
      </c>
      <c r="Z4" s="16" t="s">
        <v>407</v>
      </c>
      <c r="AA4" s="16" t="s">
        <v>408</v>
      </c>
      <c r="AB4" s="16" t="s">
        <v>409</v>
      </c>
      <c r="AC4" s="16" t="s">
        <v>17</v>
      </c>
      <c r="AD4" s="16" t="s">
        <v>18</v>
      </c>
      <c r="AE4" s="16" t="s">
        <v>19</v>
      </c>
      <c r="AF4" s="16" t="s">
        <v>20</v>
      </c>
      <c r="AG4" s="16" t="s">
        <v>21</v>
      </c>
      <c r="AH4" s="16" t="s">
        <v>22</v>
      </c>
      <c r="AI4" s="16" t="s">
        <v>23</v>
      </c>
      <c r="AJ4" s="16" t="s">
        <v>24</v>
      </c>
      <c r="AK4" s="16" t="s">
        <v>25</v>
      </c>
      <c r="AL4" s="16" t="s">
        <v>26</v>
      </c>
      <c r="AM4" s="16" t="s">
        <v>27</v>
      </c>
      <c r="AN4" s="16" t="s">
        <v>28</v>
      </c>
      <c r="AO4" s="16" t="s">
        <v>29</v>
      </c>
      <c r="AP4" s="16" t="s">
        <v>30</v>
      </c>
      <c r="AQ4" s="16" t="s">
        <v>31</v>
      </c>
      <c r="AR4" s="16" t="s">
        <v>32</v>
      </c>
      <c r="AS4" s="16" t="s">
        <v>33</v>
      </c>
      <c r="AT4" s="16" t="s">
        <v>34</v>
      </c>
      <c r="AU4" s="16" t="s">
        <v>35</v>
      </c>
      <c r="AV4" s="16" t="s">
        <v>36</v>
      </c>
      <c r="AW4" s="16" t="s">
        <v>37</v>
      </c>
      <c r="AX4" s="16" t="s">
        <v>38</v>
      </c>
      <c r="AY4" s="16" t="s">
        <v>39</v>
      </c>
      <c r="AZ4" s="16" t="s">
        <v>40</v>
      </c>
      <c r="BA4" s="16" t="s">
        <v>41</v>
      </c>
      <c r="BB4" s="16" t="s">
        <v>42</v>
      </c>
      <c r="BC4" s="16" t="s">
        <v>43</v>
      </c>
      <c r="BD4" s="16" t="s">
        <v>44</v>
      </c>
      <c r="BE4" s="16" t="s">
        <v>45</v>
      </c>
      <c r="BF4" s="16" t="s">
        <v>46</v>
      </c>
      <c r="BG4" s="16" t="s">
        <v>47</v>
      </c>
      <c r="BH4" s="16" t="s">
        <v>76</v>
      </c>
      <c r="BI4" s="16" t="s">
        <v>77</v>
      </c>
      <c r="BJ4" s="16" t="s">
        <v>78</v>
      </c>
      <c r="BK4" s="16" t="s">
        <v>79</v>
      </c>
      <c r="BL4" s="16" t="s">
        <v>80</v>
      </c>
      <c r="BM4" s="16" t="s">
        <v>81</v>
      </c>
      <c r="BN4" s="16" t="s">
        <v>82</v>
      </c>
      <c r="BO4" s="16" t="s">
        <v>83</v>
      </c>
      <c r="BP4" s="16" t="s">
        <v>84</v>
      </c>
      <c r="BQ4" s="16" t="s">
        <v>85</v>
      </c>
      <c r="BR4" s="16" t="s">
        <v>86</v>
      </c>
      <c r="BS4" s="16" t="s">
        <v>87</v>
      </c>
      <c r="BT4" s="16" t="s">
        <v>88</v>
      </c>
      <c r="BU4" s="16" t="s">
        <v>89</v>
      </c>
      <c r="BV4" s="16" t="s">
        <v>90</v>
      </c>
      <c r="BW4" s="16" t="s">
        <v>91</v>
      </c>
      <c r="BX4" s="16" t="s">
        <v>92</v>
      </c>
      <c r="BY4" s="16" t="s">
        <v>93</v>
      </c>
      <c r="BZ4" s="16" t="s">
        <v>94</v>
      </c>
      <c r="CA4" s="16" t="s">
        <v>95</v>
      </c>
      <c r="CB4" s="16" t="s">
        <v>96</v>
      </c>
      <c r="CC4" s="16" t="s">
        <v>97</v>
      </c>
      <c r="CD4" s="16" t="s">
        <v>98</v>
      </c>
      <c r="CE4" s="16" t="s">
        <v>99</v>
      </c>
      <c r="CF4" s="16" t="s">
        <v>100</v>
      </c>
      <c r="CG4" s="16" t="s">
        <v>101</v>
      </c>
      <c r="CH4" s="16" t="s">
        <v>102</v>
      </c>
      <c r="CI4" s="16" t="s">
        <v>103</v>
      </c>
      <c r="CJ4" s="16" t="s">
        <v>104</v>
      </c>
      <c r="CK4" s="16" t="s">
        <v>105</v>
      </c>
      <c r="CL4" s="16" t="s">
        <v>106</v>
      </c>
      <c r="CM4" s="16" t="s">
        <v>107</v>
      </c>
      <c r="CN4" s="16" t="s">
        <v>108</v>
      </c>
      <c r="CO4" s="16" t="s">
        <v>109</v>
      </c>
      <c r="CP4" s="16" t="s">
        <v>110</v>
      </c>
      <c r="CQ4" s="16" t="s">
        <v>111</v>
      </c>
      <c r="CR4" s="16" t="s">
        <v>112</v>
      </c>
      <c r="CS4" s="16" t="s">
        <v>113</v>
      </c>
      <c r="CT4" s="16" t="s">
        <v>114</v>
      </c>
      <c r="CU4" s="16" t="s">
        <v>115</v>
      </c>
      <c r="CV4" s="16" t="s">
        <v>116</v>
      </c>
      <c r="CW4" s="16" t="s">
        <v>117</v>
      </c>
      <c r="CX4" s="16" t="s">
        <v>118</v>
      </c>
      <c r="CY4" s="16" t="s">
        <v>119</v>
      </c>
      <c r="CZ4" s="16" t="s">
        <v>120</v>
      </c>
      <c r="DA4" s="16" t="s">
        <v>121</v>
      </c>
      <c r="DB4" s="16" t="s">
        <v>122</v>
      </c>
      <c r="DC4" s="16" t="s">
        <v>123</v>
      </c>
      <c r="DD4" s="16" t="s">
        <v>124</v>
      </c>
      <c r="DE4" s="16" t="s">
        <v>125</v>
      </c>
      <c r="DF4" s="16" t="s">
        <v>126</v>
      </c>
      <c r="DG4" s="16" t="s">
        <v>127</v>
      </c>
      <c r="DH4" s="16" t="s">
        <v>128</v>
      </c>
      <c r="DI4" s="16" t="s">
        <v>129</v>
      </c>
      <c r="DJ4" s="16" t="s">
        <v>130</v>
      </c>
      <c r="DK4" s="16" t="s">
        <v>134</v>
      </c>
      <c r="DL4" s="16" t="s">
        <v>135</v>
      </c>
      <c r="DM4" s="16" t="s">
        <v>136</v>
      </c>
      <c r="DN4" s="16" t="s">
        <v>137</v>
      </c>
      <c r="DO4" s="16" t="s">
        <v>138</v>
      </c>
      <c r="DP4" s="16" t="s">
        <v>139</v>
      </c>
      <c r="DQ4" s="16" t="s">
        <v>140</v>
      </c>
      <c r="DR4" s="16" t="s">
        <v>141</v>
      </c>
      <c r="DS4" s="16" t="s">
        <v>142</v>
      </c>
      <c r="DT4" s="16" t="s">
        <v>143</v>
      </c>
      <c r="DU4" s="16" t="s">
        <v>144</v>
      </c>
      <c r="DV4" s="16" t="s">
        <v>145</v>
      </c>
      <c r="DW4" s="16" t="s">
        <v>146</v>
      </c>
      <c r="DX4" s="16" t="s">
        <v>147</v>
      </c>
      <c r="DY4" s="16" t="s">
        <v>148</v>
      </c>
      <c r="DZ4" s="16" t="s">
        <v>149</v>
      </c>
      <c r="EA4" s="16" t="s">
        <v>150</v>
      </c>
      <c r="EB4" s="16" t="s">
        <v>151</v>
      </c>
      <c r="EC4" s="16" t="s">
        <v>152</v>
      </c>
      <c r="ED4" s="16" t="s">
        <v>153</v>
      </c>
      <c r="EE4" s="16" t="s">
        <v>154</v>
      </c>
      <c r="EF4" s="16" t="s">
        <v>155</v>
      </c>
      <c r="EG4" s="16" t="s">
        <v>156</v>
      </c>
      <c r="EH4" s="16" t="s">
        <v>157</v>
      </c>
      <c r="EI4" s="16" t="s">
        <v>158</v>
      </c>
      <c r="EJ4" s="16" t="s">
        <v>159</v>
      </c>
      <c r="EK4" s="16" t="s">
        <v>160</v>
      </c>
      <c r="EL4" s="16" t="s">
        <v>161</v>
      </c>
      <c r="EM4" s="16" t="s">
        <v>162</v>
      </c>
      <c r="EN4" s="16" t="s">
        <v>163</v>
      </c>
      <c r="EO4" s="16" t="s">
        <v>3</v>
      </c>
    </row>
    <row r="5" spans="1:145" ht="18.600000000000001" customHeight="1" x14ac:dyDescent="0.25">
      <c r="B5" s="21" t="s">
        <v>311</v>
      </c>
      <c r="C5" s="17" t="s">
        <v>375</v>
      </c>
      <c r="D5" s="17" t="s">
        <v>376</v>
      </c>
      <c r="E5" s="24"/>
      <c r="F5" s="17"/>
      <c r="G5" s="17"/>
      <c r="H5" s="17"/>
      <c r="I5" s="17"/>
      <c r="J5" s="17"/>
      <c r="K5" s="17"/>
      <c r="L5" s="17"/>
      <c r="M5" s="17"/>
      <c r="N5" s="17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</row>
    <row r="6" spans="1:145" ht="18.600000000000001" customHeight="1" x14ac:dyDescent="0.25">
      <c r="B6" s="20" t="s">
        <v>303</v>
      </c>
      <c r="C6" s="17" t="s">
        <v>375</v>
      </c>
      <c r="D6" s="17" t="s">
        <v>303</v>
      </c>
      <c r="E6" s="24"/>
      <c r="F6" s="17"/>
      <c r="G6" s="17"/>
      <c r="H6" s="17"/>
      <c r="I6" s="17"/>
      <c r="J6" s="17"/>
      <c r="K6" s="17"/>
      <c r="L6" s="17"/>
      <c r="M6" s="17"/>
      <c r="N6" s="17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</row>
    <row r="7" spans="1:145" ht="18.600000000000001" customHeight="1" x14ac:dyDescent="0.25">
      <c r="B7" s="20" t="s">
        <v>340</v>
      </c>
      <c r="C7" s="17" t="s">
        <v>375</v>
      </c>
      <c r="D7" s="17" t="s">
        <v>410</v>
      </c>
      <c r="E7" s="24"/>
      <c r="F7" s="17"/>
      <c r="G7" s="17"/>
      <c r="H7" s="17"/>
      <c r="I7" s="17"/>
      <c r="J7" s="17" t="s">
        <v>14</v>
      </c>
      <c r="K7" s="17"/>
      <c r="L7" s="17" t="s">
        <v>377</v>
      </c>
      <c r="M7" s="17"/>
      <c r="N7" s="17"/>
      <c r="O7" s="19" t="s">
        <v>411</v>
      </c>
      <c r="P7" s="19" t="s">
        <v>271</v>
      </c>
      <c r="Q7" s="19" t="s">
        <v>284</v>
      </c>
      <c r="R7" s="19" t="s">
        <v>378</v>
      </c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</row>
    <row r="8" spans="1:145" ht="18.600000000000001" customHeight="1" x14ac:dyDescent="0.25">
      <c r="B8" s="20" t="s">
        <v>379</v>
      </c>
      <c r="C8" s="17" t="s">
        <v>375</v>
      </c>
      <c r="D8" s="17" t="s">
        <v>380</v>
      </c>
      <c r="E8" s="24"/>
      <c r="F8" s="17"/>
      <c r="G8" s="17"/>
      <c r="H8" s="17"/>
      <c r="I8" s="17"/>
      <c r="J8" s="17" t="s">
        <v>14</v>
      </c>
      <c r="K8" s="17"/>
      <c r="L8" s="17" t="s">
        <v>377</v>
      </c>
      <c r="M8" s="17"/>
      <c r="N8" s="17"/>
      <c r="O8" s="19" t="s">
        <v>381</v>
      </c>
      <c r="P8" s="19" t="s">
        <v>293</v>
      </c>
      <c r="Q8" s="19" t="s">
        <v>214</v>
      </c>
      <c r="R8" s="19" t="s">
        <v>287</v>
      </c>
      <c r="S8" s="19" t="s">
        <v>382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</row>
    <row r="9" spans="1:145" ht="18.600000000000001" customHeight="1" x14ac:dyDescent="0.25">
      <c r="B9" s="20" t="s">
        <v>308</v>
      </c>
      <c r="C9" s="17" t="s">
        <v>375</v>
      </c>
      <c r="D9" s="17" t="s">
        <v>383</v>
      </c>
      <c r="E9" s="24"/>
      <c r="F9" s="17"/>
      <c r="G9" s="17"/>
      <c r="H9" s="17"/>
      <c r="I9" s="17"/>
      <c r="J9" s="17"/>
      <c r="K9" s="17"/>
      <c r="L9" s="17"/>
      <c r="M9" s="17"/>
      <c r="N9" s="17"/>
      <c r="O9" s="19" t="s">
        <v>413</v>
      </c>
      <c r="P9" s="19" t="s">
        <v>293</v>
      </c>
      <c r="Q9" s="19" t="s">
        <v>214</v>
      </c>
      <c r="R9" s="19" t="s">
        <v>306</v>
      </c>
      <c r="S9" s="19" t="s">
        <v>384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</row>
    <row r="10" spans="1:145" ht="18.600000000000001" customHeight="1" x14ac:dyDescent="0.25">
      <c r="B10" s="20" t="s">
        <v>312</v>
      </c>
      <c r="C10" s="17" t="s">
        <v>375</v>
      </c>
      <c r="D10" s="17" t="s">
        <v>385</v>
      </c>
      <c r="E10" s="24"/>
      <c r="F10" s="17"/>
      <c r="G10" s="17"/>
      <c r="H10" s="17"/>
      <c r="I10" s="17"/>
      <c r="J10" s="17"/>
      <c r="K10" s="17"/>
      <c r="L10" s="17" t="s">
        <v>377</v>
      </c>
      <c r="M10" s="17"/>
      <c r="N10" s="17"/>
      <c r="O10" s="19" t="s">
        <v>386</v>
      </c>
      <c r="P10" s="19" t="s">
        <v>216</v>
      </c>
      <c r="Q10" s="19">
        <v>9.9999999999999995E-7</v>
      </c>
      <c r="R10" s="19">
        <v>2E-3</v>
      </c>
      <c r="S10" s="19">
        <v>5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</row>
    <row r="11" spans="1:145" ht="18.600000000000001" customHeight="1" x14ac:dyDescent="0.25">
      <c r="B11" s="20" t="s">
        <v>313</v>
      </c>
      <c r="C11" s="17" t="s">
        <v>375</v>
      </c>
      <c r="D11" s="17" t="s">
        <v>385</v>
      </c>
      <c r="E11" s="24"/>
      <c r="F11" s="17"/>
      <c r="G11" s="17"/>
      <c r="H11" s="17"/>
      <c r="I11" s="17"/>
      <c r="J11" s="17"/>
      <c r="K11" s="17"/>
      <c r="L11" s="17" t="s">
        <v>377</v>
      </c>
      <c r="M11" s="17"/>
      <c r="N11" s="17"/>
      <c r="O11" s="19" t="s">
        <v>386</v>
      </c>
      <c r="P11" s="19" t="s">
        <v>217</v>
      </c>
      <c r="Q11" s="19">
        <v>1.0000000000000001E-5</v>
      </c>
      <c r="R11" s="19">
        <v>4.0000000000000001E-3</v>
      </c>
      <c r="S11" s="19">
        <v>5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</row>
    <row r="12" spans="1:145" ht="18.600000000000001" customHeight="1" x14ac:dyDescent="0.25">
      <c r="B12" s="20" t="s">
        <v>314</v>
      </c>
      <c r="C12" s="17" t="s">
        <v>375</v>
      </c>
      <c r="D12" s="17" t="s">
        <v>385</v>
      </c>
      <c r="E12" s="24"/>
      <c r="F12" s="17"/>
      <c r="G12" s="17"/>
      <c r="H12" s="17"/>
      <c r="I12" s="17"/>
      <c r="J12" s="17"/>
      <c r="K12" s="17"/>
      <c r="L12" s="17" t="s">
        <v>377</v>
      </c>
      <c r="M12" s="17"/>
      <c r="N12" s="17"/>
      <c r="O12" s="19" t="s">
        <v>386</v>
      </c>
      <c r="P12" s="19" t="s">
        <v>218</v>
      </c>
      <c r="Q12" s="19">
        <v>1.1E-5</v>
      </c>
      <c r="R12" s="19">
        <v>4.0000000000000001E-3</v>
      </c>
      <c r="S12" s="19">
        <v>10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</row>
    <row r="13" spans="1:145" ht="18.600000000000001" customHeight="1" x14ac:dyDescent="0.25">
      <c r="B13" s="20" t="s">
        <v>324</v>
      </c>
      <c r="C13" s="17" t="s">
        <v>375</v>
      </c>
      <c r="D13" s="17" t="s">
        <v>324</v>
      </c>
      <c r="E13" s="24"/>
      <c r="F13" s="17"/>
      <c r="G13" s="17"/>
      <c r="H13" s="17"/>
      <c r="I13" s="17"/>
      <c r="J13" s="17"/>
      <c r="K13" s="17"/>
      <c r="L13" s="17"/>
      <c r="M13" s="17"/>
      <c r="N13" s="17"/>
      <c r="O13" s="19" t="s">
        <v>387</v>
      </c>
      <c r="P13" s="19" t="s">
        <v>293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</row>
    <row r="14" spans="1:145" ht="18.600000000000001" customHeight="1" x14ac:dyDescent="0.25">
      <c r="B14" s="20" t="s">
        <v>319</v>
      </c>
      <c r="C14" s="17" t="s">
        <v>375</v>
      </c>
      <c r="D14" s="17" t="s">
        <v>319</v>
      </c>
      <c r="E14" s="24"/>
      <c r="F14" s="17"/>
      <c r="G14" s="17"/>
      <c r="H14" s="17"/>
      <c r="I14" s="17"/>
      <c r="J14" s="17" t="s">
        <v>14</v>
      </c>
      <c r="K14" s="17"/>
      <c r="L14" s="17" t="s">
        <v>377</v>
      </c>
      <c r="M14" s="17"/>
      <c r="N14" s="17"/>
      <c r="O14" s="19" t="s">
        <v>388</v>
      </c>
      <c r="P14" s="19">
        <v>50</v>
      </c>
      <c r="Q14" s="19">
        <v>8.0000000000000005E-9</v>
      </c>
      <c r="R14" s="19">
        <v>1.6000000000000001E-8</v>
      </c>
      <c r="S14" s="19">
        <v>420</v>
      </c>
      <c r="T14" s="19">
        <v>-0.1</v>
      </c>
      <c r="U14" s="19">
        <v>3</v>
      </c>
      <c r="V14" s="19">
        <v>200</v>
      </c>
      <c r="W14" s="19" t="s">
        <v>248</v>
      </c>
      <c r="X14" s="19" t="s">
        <v>320</v>
      </c>
      <c r="Y14" s="19" t="s">
        <v>327</v>
      </c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</row>
    <row r="15" spans="1:145" ht="18.600000000000001" customHeight="1" x14ac:dyDescent="0.25">
      <c r="B15" s="20" t="s">
        <v>343</v>
      </c>
      <c r="C15" s="17" t="s">
        <v>375</v>
      </c>
      <c r="D15" s="17" t="s">
        <v>343</v>
      </c>
      <c r="E15" s="24"/>
      <c r="F15" s="17"/>
      <c r="G15" s="17"/>
      <c r="H15" s="17"/>
      <c r="I15" s="17"/>
      <c r="J15" s="17" t="s">
        <v>14</v>
      </c>
      <c r="K15" s="17"/>
      <c r="L15" s="17" t="s">
        <v>377</v>
      </c>
      <c r="M15" s="17"/>
      <c r="N15" s="17"/>
      <c r="O15" s="19" t="s">
        <v>396</v>
      </c>
      <c r="P15" s="19">
        <v>40000</v>
      </c>
      <c r="Q15" s="19">
        <v>8.0000000000000005E-9</v>
      </c>
      <c r="R15" s="19">
        <v>0</v>
      </c>
      <c r="S15" s="19">
        <v>3.1E-8</v>
      </c>
      <c r="T15" s="19">
        <v>200</v>
      </c>
      <c r="U15" s="19">
        <v>-0.1</v>
      </c>
      <c r="V15" s="19">
        <v>3.1</v>
      </c>
      <c r="W15" s="19">
        <v>2E-3</v>
      </c>
      <c r="X15" s="19" t="s">
        <v>248</v>
      </c>
      <c r="Y15" s="19" t="s">
        <v>341</v>
      </c>
      <c r="Z15" s="19" t="s">
        <v>344</v>
      </c>
      <c r="AA15" s="19" t="b">
        <v>1</v>
      </c>
      <c r="AB15" s="19" t="b">
        <v>0</v>
      </c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</row>
    <row r="16" spans="1:145" ht="18.600000000000001" customHeight="1" x14ac:dyDescent="0.25">
      <c r="B16" s="20" t="s">
        <v>362</v>
      </c>
      <c r="C16" s="17" t="s">
        <v>375</v>
      </c>
      <c r="D16" s="17" t="s">
        <v>362</v>
      </c>
      <c r="E16" s="24"/>
      <c r="F16" s="17"/>
      <c r="G16" s="17"/>
      <c r="H16" s="17"/>
      <c r="I16" s="17"/>
      <c r="J16" s="17" t="s">
        <v>14</v>
      </c>
      <c r="K16" s="17"/>
      <c r="L16" s="17" t="s">
        <v>377</v>
      </c>
      <c r="M16" s="17" t="s">
        <v>310</v>
      </c>
      <c r="N16" s="17"/>
      <c r="O16" s="19" t="s">
        <v>389</v>
      </c>
      <c r="P16" s="19" t="s">
        <v>248</v>
      </c>
      <c r="Q16" s="19" t="s">
        <v>214</v>
      </c>
      <c r="R16" s="19" t="s">
        <v>391</v>
      </c>
      <c r="S16" s="19" t="s">
        <v>392</v>
      </c>
      <c r="T16" s="19" t="s">
        <v>393</v>
      </c>
      <c r="U16" s="19" t="s">
        <v>394</v>
      </c>
      <c r="V16" s="19" t="s">
        <v>395</v>
      </c>
      <c r="W16" s="19" t="s">
        <v>248</v>
      </c>
      <c r="X16" s="19" t="s">
        <v>248</v>
      </c>
      <c r="Y16" s="19" t="s">
        <v>341</v>
      </c>
      <c r="Z16" s="19" t="s">
        <v>344</v>
      </c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</row>
    <row r="17" spans="2:145" ht="18.600000000000001" customHeight="1" x14ac:dyDescent="0.25">
      <c r="B17" s="20" t="s">
        <v>339</v>
      </c>
      <c r="C17" s="17" t="s">
        <v>375</v>
      </c>
      <c r="D17" s="17" t="s">
        <v>390</v>
      </c>
      <c r="E17" s="24"/>
      <c r="F17" s="17"/>
      <c r="G17" s="17"/>
      <c r="H17" s="17"/>
      <c r="I17" s="17"/>
      <c r="J17" s="17"/>
      <c r="K17" s="17"/>
      <c r="L17" s="17"/>
      <c r="M17" s="17"/>
      <c r="N17" s="17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</row>
  </sheetData>
  <autoFilter ref="D4:D5" xr:uid="{00000000-0009-0000-0000-000002000000}"/>
  <mergeCells count="6">
    <mergeCell ref="O3:EN3"/>
    <mergeCell ref="B1:E1"/>
    <mergeCell ref="C3:E3"/>
    <mergeCell ref="F3:G3"/>
    <mergeCell ref="H3:I3"/>
    <mergeCell ref="J3:M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outlinePr summaryBelow="0" summaryRight="0"/>
  </sheetPr>
  <dimension ref="A1:K20"/>
  <sheetViews>
    <sheetView showGridLines="0" workbookViewId="0">
      <pane ySplit="6" topLeftCell="A7" activePane="bottomLeft" state="frozen"/>
      <selection pane="bottomLeft" activeCell="B7" sqref="B7"/>
    </sheetView>
  </sheetViews>
  <sheetFormatPr defaultColWidth="9.109375" defaultRowHeight="18.600000000000001" customHeight="1" x14ac:dyDescent="0.25"/>
  <cols>
    <col min="1" max="1" width="9.109375" style="11"/>
    <col min="2" max="4" width="13.44140625" style="11" customWidth="1"/>
    <col min="5" max="5" width="9.109375" style="11" customWidth="1"/>
    <col min="6" max="6" width="42.88671875" style="11" customWidth="1"/>
    <col min="7" max="16384" width="9.109375" style="11"/>
  </cols>
  <sheetData>
    <row r="1" spans="1:11" ht="24.6" x14ac:dyDescent="0.4">
      <c r="A1" s="14" t="s">
        <v>234</v>
      </c>
      <c r="B1" s="46" t="s">
        <v>239</v>
      </c>
      <c r="C1" s="46"/>
      <c r="D1" s="46"/>
      <c r="E1" s="46"/>
      <c r="F1" s="46"/>
    </row>
    <row r="2" spans="1:11" ht="13.2" x14ac:dyDescent="0.25"/>
    <row r="3" spans="1:11" ht="18.600000000000001" customHeight="1" x14ac:dyDescent="0.25">
      <c r="B3" s="22" t="s">
        <v>231</v>
      </c>
      <c r="C3" s="27"/>
      <c r="E3" s="22" t="s">
        <v>233</v>
      </c>
      <c r="F3" s="13" t="s">
        <v>240</v>
      </c>
      <c r="H3" s="22" t="s">
        <v>232</v>
      </c>
      <c r="I3" s="13"/>
      <c r="J3" s="22" t="s">
        <v>184</v>
      </c>
      <c r="K3" s="27"/>
    </row>
    <row r="4" spans="1:11" ht="13.8" thickBot="1" x14ac:dyDescent="0.3"/>
    <row r="5" spans="1:11" s="12" customFormat="1" ht="13.8" thickBot="1" x14ac:dyDescent="0.3">
      <c r="B5" s="47" t="s">
        <v>236</v>
      </c>
      <c r="C5" s="48"/>
      <c r="D5" s="47" t="s">
        <v>238</v>
      </c>
      <c r="E5" s="48"/>
    </row>
    <row r="6" spans="1:11" s="12" customFormat="1" ht="13.8" thickBot="1" x14ac:dyDescent="0.3">
      <c r="B6" s="15" t="s">
        <v>1</v>
      </c>
      <c r="C6" s="16" t="s">
        <v>235</v>
      </c>
      <c r="D6" s="15" t="s">
        <v>2</v>
      </c>
      <c r="E6" s="15" t="s">
        <v>237</v>
      </c>
      <c r="F6" s="16" t="s">
        <v>3</v>
      </c>
    </row>
    <row r="7" spans="1:11" ht="18.600000000000001" customHeight="1" x14ac:dyDescent="0.25">
      <c r="B7" s="33" t="s">
        <v>220</v>
      </c>
      <c r="C7" s="19"/>
      <c r="D7" s="17" t="s">
        <v>213</v>
      </c>
      <c r="E7" s="32" t="s">
        <v>241</v>
      </c>
      <c r="F7" s="19" t="s">
        <v>226</v>
      </c>
    </row>
    <row r="8" spans="1:11" ht="18.600000000000001" customHeight="1" x14ac:dyDescent="0.25">
      <c r="B8" s="17" t="s">
        <v>221</v>
      </c>
      <c r="C8" s="19"/>
      <c r="D8" s="17" t="s">
        <v>213</v>
      </c>
      <c r="E8" s="32" t="s">
        <v>242</v>
      </c>
      <c r="F8" s="19" t="s">
        <v>226</v>
      </c>
    </row>
    <row r="9" spans="1:11" ht="18.600000000000001" customHeight="1" x14ac:dyDescent="0.25">
      <c r="B9" s="17" t="s">
        <v>214</v>
      </c>
      <c r="C9" s="19"/>
      <c r="D9" s="17" t="s">
        <v>213</v>
      </c>
      <c r="E9" s="32" t="s">
        <v>243</v>
      </c>
      <c r="F9" s="19" t="s">
        <v>229</v>
      </c>
    </row>
    <row r="10" spans="1:11" ht="18.600000000000001" customHeight="1" x14ac:dyDescent="0.25">
      <c r="B10" s="17" t="s">
        <v>215</v>
      </c>
      <c r="C10" s="19"/>
      <c r="D10" s="17" t="s">
        <v>291</v>
      </c>
      <c r="E10" s="32" t="s">
        <v>299</v>
      </c>
      <c r="F10" s="19" t="s">
        <v>230</v>
      </c>
    </row>
    <row r="11" spans="1:11" ht="18.600000000000001" customHeight="1" x14ac:dyDescent="0.25">
      <c r="B11" s="17" t="s">
        <v>222</v>
      </c>
      <c r="C11" s="19"/>
      <c r="D11" s="17" t="s">
        <v>213</v>
      </c>
      <c r="E11" s="32" t="s">
        <v>244</v>
      </c>
      <c r="F11" s="19" t="s">
        <v>227</v>
      </c>
    </row>
    <row r="12" spans="1:11" ht="18.600000000000001" customHeight="1" x14ac:dyDescent="0.25">
      <c r="B12" s="17" t="s">
        <v>223</v>
      </c>
      <c r="C12" s="19"/>
      <c r="D12" s="17" t="s">
        <v>213</v>
      </c>
      <c r="E12" s="32" t="s">
        <v>245</v>
      </c>
      <c r="F12" s="19" t="s">
        <v>227</v>
      </c>
    </row>
    <row r="13" spans="1:11" ht="18.600000000000001" customHeight="1" x14ac:dyDescent="0.25">
      <c r="B13" s="17" t="s">
        <v>224</v>
      </c>
      <c r="C13" s="19"/>
      <c r="D13" s="17" t="s">
        <v>213</v>
      </c>
      <c r="E13" s="32" t="s">
        <v>246</v>
      </c>
      <c r="F13" s="19" t="s">
        <v>227</v>
      </c>
    </row>
    <row r="14" spans="1:11" ht="18.600000000000001" customHeight="1" x14ac:dyDescent="0.25">
      <c r="B14" s="17" t="s">
        <v>225</v>
      </c>
      <c r="C14" s="19"/>
      <c r="D14" s="17" t="s">
        <v>213</v>
      </c>
      <c r="E14" s="32" t="s">
        <v>247</v>
      </c>
      <c r="F14" s="19" t="s">
        <v>227</v>
      </c>
    </row>
    <row r="15" spans="1:11" ht="18.600000000000001" customHeight="1" x14ac:dyDescent="0.25">
      <c r="B15" s="17" t="s">
        <v>216</v>
      </c>
      <c r="C15" s="19"/>
      <c r="D15" s="17" t="s">
        <v>291</v>
      </c>
      <c r="E15" s="32" t="s">
        <v>300</v>
      </c>
      <c r="F15" s="19" t="s">
        <v>228</v>
      </c>
    </row>
    <row r="16" spans="1:11" ht="18.600000000000001" customHeight="1" x14ac:dyDescent="0.25">
      <c r="B16" s="17" t="s">
        <v>217</v>
      </c>
      <c r="C16" s="19"/>
      <c r="D16" s="17" t="s">
        <v>291</v>
      </c>
      <c r="E16" s="32" t="s">
        <v>301</v>
      </c>
      <c r="F16" s="19" t="s">
        <v>228</v>
      </c>
    </row>
    <row r="17" spans="2:6" ht="18.600000000000001" customHeight="1" x14ac:dyDescent="0.25">
      <c r="B17" s="17" t="s">
        <v>218</v>
      </c>
      <c r="C17" s="19"/>
      <c r="D17" s="17" t="s">
        <v>291</v>
      </c>
      <c r="E17" s="32" t="s">
        <v>302</v>
      </c>
      <c r="F17" s="19" t="s">
        <v>228</v>
      </c>
    </row>
    <row r="18" spans="2:6" ht="18.600000000000001" customHeight="1" x14ac:dyDescent="0.25">
      <c r="B18" s="17" t="s">
        <v>356</v>
      </c>
      <c r="C18" s="19"/>
      <c r="D18" s="17" t="s">
        <v>291</v>
      </c>
      <c r="E18" s="32" t="s">
        <v>363</v>
      </c>
      <c r="F18" s="19" t="s">
        <v>357</v>
      </c>
    </row>
    <row r="19" spans="2:6" ht="18.600000000000001" customHeight="1" x14ac:dyDescent="0.25">
      <c r="B19" s="17" t="s">
        <v>293</v>
      </c>
      <c r="C19" s="19"/>
      <c r="D19" s="17" t="s">
        <v>219</v>
      </c>
      <c r="E19" s="32" t="s">
        <v>298</v>
      </c>
      <c r="F19" s="19" t="s">
        <v>325</v>
      </c>
    </row>
    <row r="20" spans="2:6" ht="18.600000000000001" customHeight="1" x14ac:dyDescent="0.25">
      <c r="B20" s="17" t="s">
        <v>294</v>
      </c>
      <c r="C20" s="19"/>
      <c r="D20" s="17" t="s">
        <v>219</v>
      </c>
      <c r="E20" s="32" t="s">
        <v>297</v>
      </c>
      <c r="F20" s="19" t="s">
        <v>326</v>
      </c>
    </row>
  </sheetData>
  <mergeCells count="3">
    <mergeCell ref="B5:C5"/>
    <mergeCell ref="D5:E5"/>
    <mergeCell ref="B1:F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44" r:id="rId4" name="ComboBox23">
          <controlPr defaultSize="0" autoLine="0" r:id="rId5">
            <anchor moveWithCells="1">
              <from>
                <xdr:col>1</xdr:col>
                <xdr:colOff>7620</xdr:colOff>
                <xdr:row>6</xdr:row>
                <xdr:rowOff>7620</xdr:rowOff>
              </from>
              <to>
                <xdr:col>2</xdr:col>
                <xdr:colOff>160020</xdr:colOff>
                <xdr:row>6</xdr:row>
                <xdr:rowOff>205740</xdr:rowOff>
              </to>
            </anchor>
          </controlPr>
        </control>
      </mc:Choice>
      <mc:Fallback>
        <control shapeId="41044" r:id="rId4" name="ComboBox2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E27"/>
  <sheetViews>
    <sheetView showGridLines="0" workbookViewId="0">
      <pane ySplit="3" topLeftCell="A4" activePane="bottomLeft" state="frozen"/>
      <selection pane="bottomLeft" activeCell="I22" sqref="I22"/>
    </sheetView>
  </sheetViews>
  <sheetFormatPr defaultColWidth="9.109375" defaultRowHeight="18.600000000000001" customHeight="1" outlineLevelRow="1" x14ac:dyDescent="0.25"/>
  <cols>
    <col min="1" max="1" width="9.109375" style="11"/>
    <col min="2" max="2" width="17.5546875" style="11" customWidth="1"/>
    <col min="3" max="4" width="13.44140625" style="11" customWidth="1"/>
    <col min="5" max="5" width="42.88671875" style="11" customWidth="1"/>
    <col min="6" max="16384" width="9.109375" style="11"/>
  </cols>
  <sheetData>
    <row r="1" spans="1:5" ht="25.5" customHeight="1" x14ac:dyDescent="0.4">
      <c r="A1" s="14" t="s">
        <v>173</v>
      </c>
      <c r="B1" s="46" t="s">
        <v>4</v>
      </c>
      <c r="C1" s="46"/>
      <c r="D1" s="46"/>
      <c r="E1" s="46"/>
    </row>
    <row r="2" spans="1:5" ht="13.8" thickBot="1" x14ac:dyDescent="0.3">
      <c r="D2" s="22" t="s">
        <v>184</v>
      </c>
      <c r="E2" s="27"/>
    </row>
    <row r="3" spans="1:5" s="12" customFormat="1" ht="13.8" thickBot="1" x14ac:dyDescent="0.3">
      <c r="B3" s="16" t="s">
        <v>0</v>
      </c>
      <c r="C3" s="15" t="s">
        <v>1</v>
      </c>
      <c r="D3" s="15" t="s">
        <v>2</v>
      </c>
      <c r="E3" s="16" t="s">
        <v>3</v>
      </c>
    </row>
    <row r="4" spans="1:5" ht="18.600000000000001" customHeight="1" x14ac:dyDescent="0.25">
      <c r="B4" s="40"/>
      <c r="C4" s="40" t="s">
        <v>220</v>
      </c>
      <c r="D4" s="40" t="s">
        <v>213</v>
      </c>
      <c r="E4" s="41" t="s">
        <v>268</v>
      </c>
    </row>
    <row r="5" spans="1:5" ht="18.600000000000001" customHeight="1" x14ac:dyDescent="0.25">
      <c r="B5" s="40"/>
      <c r="C5" s="40" t="s">
        <v>221</v>
      </c>
      <c r="D5" s="40" t="s">
        <v>213</v>
      </c>
      <c r="E5" s="41" t="s">
        <v>268</v>
      </c>
    </row>
    <row r="6" spans="1:5" ht="18.600000000000001" customHeight="1" x14ac:dyDescent="0.25">
      <c r="B6" s="40"/>
      <c r="C6" s="40" t="s">
        <v>214</v>
      </c>
      <c r="D6" s="40" t="s">
        <v>213</v>
      </c>
      <c r="E6" s="41" t="s">
        <v>229</v>
      </c>
    </row>
    <row r="7" spans="1:5" ht="18.600000000000001" customHeight="1" x14ac:dyDescent="0.25">
      <c r="B7" s="40"/>
      <c r="C7" s="40" t="s">
        <v>215</v>
      </c>
      <c r="D7" s="40" t="s">
        <v>292</v>
      </c>
      <c r="E7" s="41" t="s">
        <v>230</v>
      </c>
    </row>
    <row r="8" spans="1:5" ht="18.600000000000001" customHeight="1" x14ac:dyDescent="0.25">
      <c r="B8" s="40"/>
      <c r="C8" s="40" t="s">
        <v>222</v>
      </c>
      <c r="D8" s="40" t="s">
        <v>213</v>
      </c>
      <c r="E8" s="41" t="s">
        <v>227</v>
      </c>
    </row>
    <row r="9" spans="1:5" ht="18.600000000000001" customHeight="1" x14ac:dyDescent="0.25">
      <c r="B9" s="40"/>
      <c r="C9" s="40" t="s">
        <v>223</v>
      </c>
      <c r="D9" s="40" t="s">
        <v>213</v>
      </c>
      <c r="E9" s="41" t="s">
        <v>227</v>
      </c>
    </row>
    <row r="10" spans="1:5" ht="18.600000000000001" customHeight="1" x14ac:dyDescent="0.25">
      <c r="B10" s="40"/>
      <c r="C10" s="40" t="s">
        <v>224</v>
      </c>
      <c r="D10" s="40" t="s">
        <v>213</v>
      </c>
      <c r="E10" s="41" t="s">
        <v>227</v>
      </c>
    </row>
    <row r="11" spans="1:5" ht="18.600000000000001" customHeight="1" x14ac:dyDescent="0.25">
      <c r="B11" s="40"/>
      <c r="C11" s="40" t="s">
        <v>225</v>
      </c>
      <c r="D11" s="40" t="s">
        <v>213</v>
      </c>
      <c r="E11" s="41" t="s">
        <v>227</v>
      </c>
    </row>
    <row r="12" spans="1:5" ht="18.600000000000001" customHeight="1" x14ac:dyDescent="0.25">
      <c r="B12" s="40"/>
      <c r="C12" s="40" t="s">
        <v>216</v>
      </c>
      <c r="D12" s="40" t="s">
        <v>292</v>
      </c>
      <c r="E12" s="41" t="s">
        <v>228</v>
      </c>
    </row>
    <row r="13" spans="1:5" ht="18.600000000000001" customHeight="1" x14ac:dyDescent="0.25">
      <c r="B13" s="40"/>
      <c r="C13" s="40" t="s">
        <v>217</v>
      </c>
      <c r="D13" s="40" t="s">
        <v>292</v>
      </c>
      <c r="E13" s="41" t="s">
        <v>228</v>
      </c>
    </row>
    <row r="14" spans="1:5" ht="18.600000000000001" customHeight="1" x14ac:dyDescent="0.25">
      <c r="B14" s="40"/>
      <c r="C14" s="40" t="s">
        <v>218</v>
      </c>
      <c r="D14" s="40" t="s">
        <v>292</v>
      </c>
      <c r="E14" s="41" t="s">
        <v>228</v>
      </c>
    </row>
    <row r="15" spans="1:5" ht="18.600000000000001" customHeight="1" x14ac:dyDescent="0.25">
      <c r="B15" s="40"/>
      <c r="C15" s="40" t="s">
        <v>356</v>
      </c>
      <c r="D15" s="40" t="s">
        <v>292</v>
      </c>
      <c r="E15" s="41" t="s">
        <v>357</v>
      </c>
    </row>
    <row r="16" spans="1:5" ht="18.600000000000001" customHeight="1" x14ac:dyDescent="0.25">
      <c r="B16" s="40"/>
      <c r="C16" s="40" t="s">
        <v>293</v>
      </c>
      <c r="D16" s="40" t="s">
        <v>219</v>
      </c>
      <c r="E16" s="41" t="s">
        <v>295</v>
      </c>
    </row>
    <row r="17" spans="2:5" ht="18.600000000000001" customHeight="1" x14ac:dyDescent="0.25">
      <c r="B17" s="40"/>
      <c r="C17" s="40" t="s">
        <v>294</v>
      </c>
      <c r="D17" s="40" t="s">
        <v>219</v>
      </c>
      <c r="E17" s="41" t="s">
        <v>296</v>
      </c>
    </row>
    <row r="18" spans="2:5" ht="18.600000000000001" customHeight="1" collapsed="1" x14ac:dyDescent="0.25">
      <c r="B18" s="42" t="s">
        <v>271</v>
      </c>
      <c r="C18" s="40" t="s">
        <v>220</v>
      </c>
      <c r="D18" s="40" t="s">
        <v>213</v>
      </c>
      <c r="E18" s="41">
        <v>1</v>
      </c>
    </row>
    <row r="19" spans="2:5" ht="18.600000000000001" hidden="1" customHeight="1" outlineLevel="1" x14ac:dyDescent="0.25">
      <c r="B19" s="43" t="s">
        <v>271</v>
      </c>
      <c r="C19" s="40" t="s">
        <v>221</v>
      </c>
      <c r="D19" s="44"/>
      <c r="E19" s="41">
        <v>2</v>
      </c>
    </row>
    <row r="20" spans="2:5" ht="18.600000000000001" hidden="1" customHeight="1" outlineLevel="1" x14ac:dyDescent="0.25">
      <c r="B20" s="43" t="s">
        <v>271</v>
      </c>
      <c r="C20" s="40" t="s">
        <v>214</v>
      </c>
      <c r="D20" s="44"/>
      <c r="E20" s="41"/>
    </row>
    <row r="21" spans="2:5" ht="18.600000000000001" customHeight="1" collapsed="1" x14ac:dyDescent="0.25">
      <c r="B21" s="42" t="s">
        <v>248</v>
      </c>
      <c r="C21" s="40" t="s">
        <v>220</v>
      </c>
      <c r="D21" s="40" t="s">
        <v>213</v>
      </c>
      <c r="E21" s="41">
        <v>1</v>
      </c>
    </row>
    <row r="22" spans="2:5" ht="18.600000000000001" hidden="1" customHeight="1" outlineLevel="1" x14ac:dyDescent="0.25">
      <c r="B22" s="43" t="s">
        <v>248</v>
      </c>
      <c r="C22" s="40" t="s">
        <v>221</v>
      </c>
      <c r="D22" s="44"/>
      <c r="E22" s="41">
        <v>2</v>
      </c>
    </row>
    <row r="23" spans="2:5" ht="18.600000000000001" hidden="1" customHeight="1" outlineLevel="1" x14ac:dyDescent="0.25">
      <c r="B23" s="43" t="s">
        <v>248</v>
      </c>
      <c r="C23" s="40" t="s">
        <v>214</v>
      </c>
      <c r="D23" s="44"/>
      <c r="E23" s="41">
        <v>3</v>
      </c>
    </row>
    <row r="24" spans="2:5" ht="18.600000000000001" hidden="1" customHeight="1" outlineLevel="1" x14ac:dyDescent="0.25">
      <c r="B24" s="43" t="s">
        <v>248</v>
      </c>
      <c r="C24" s="40" t="s">
        <v>222</v>
      </c>
      <c r="D24" s="44"/>
      <c r="E24" s="41">
        <v>4</v>
      </c>
    </row>
    <row r="25" spans="2:5" ht="18.600000000000001" hidden="1" customHeight="1" outlineLevel="1" x14ac:dyDescent="0.25">
      <c r="B25" s="43" t="s">
        <v>248</v>
      </c>
      <c r="C25" s="40" t="s">
        <v>223</v>
      </c>
      <c r="D25" s="44"/>
      <c r="E25" s="41">
        <v>5</v>
      </c>
    </row>
    <row r="26" spans="2:5" ht="18.600000000000001" hidden="1" customHeight="1" outlineLevel="1" x14ac:dyDescent="0.25">
      <c r="B26" s="43" t="s">
        <v>248</v>
      </c>
      <c r="C26" s="40" t="s">
        <v>224</v>
      </c>
      <c r="D26" s="44"/>
      <c r="E26" s="41">
        <v>6</v>
      </c>
    </row>
    <row r="27" spans="2:5" ht="18.600000000000001" hidden="1" customHeight="1" outlineLevel="1" x14ac:dyDescent="0.25">
      <c r="B27" s="43" t="s">
        <v>248</v>
      </c>
      <c r="C27" s="40" t="s">
        <v>225</v>
      </c>
      <c r="D27" s="44"/>
      <c r="E27" s="41">
        <v>7</v>
      </c>
    </row>
  </sheetData>
  <autoFilter ref="C3" xr:uid="{00000000-0009-0000-0000-000004000000}"/>
  <mergeCells count="1">
    <mergeCell ref="B1:E1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13"/>
  <sheetViews>
    <sheetView workbookViewId="0"/>
  </sheetViews>
  <sheetFormatPr defaultRowHeight="13.2" x14ac:dyDescent="0.25"/>
  <sheetData>
    <row r="1" spans="1:1" x14ac:dyDescent="0.25">
      <c r="A1" s="11" t="str">
        <f ca="1">CELL("filename",'-Home-'!$A$1)</f>
        <v>C:\Users\harry\OneDrive\Documents\business\Celerint\customers\Amkor\Amkor Demo Program Files\dib0 IGXL program files\[dib0_tests_v6.xlsm]-Home-</v>
      </c>
    </row>
    <row r="2" spans="1:1" x14ac:dyDescent="0.25">
      <c r="A2" s="11" t="str">
        <f ca="1">CELL("filename",'PCB Analysis Copy'!$A$1)</f>
        <v>C:\Users\harry\OneDrive\Documents\business\Celerint\customers\Amkor\Amkor Demo Program Files\dib0 IGXL program files\[dib0_tests_v6.xlsm]PCB Analysis Copy</v>
      </c>
    </row>
    <row r="3" spans="1:1" x14ac:dyDescent="0.25">
      <c r="A3" s="11" t="str">
        <f ca="1">CELL("filename",'PCB Analysis'!$A$1)</f>
        <v>C:\Users\harry\OneDrive\Documents\business\Celerint\customers\Amkor\Amkor Demo Program Files\dib0 IGXL program files\[dib0_tests_v6.xlsm]PCB Analysis</v>
      </c>
    </row>
    <row r="4" spans="1:1" x14ac:dyDescent="0.25">
      <c r="A4" s="11" t="str">
        <f ca="1">CELL("filename",'length report'!$A$1)</f>
        <v>C:\Users\harry\OneDrive\Documents\business\Celerint\customers\Amkor\Amkor Demo Program Files\dib0 IGXL program files\[dib0_tests_v6.xlsm]length report</v>
      </c>
    </row>
    <row r="5" spans="1:1" x14ac:dyDescent="0.25">
      <c r="A5" s="11" t="str">
        <f ca="1">CELL("filename",TDRData!$A$1)</f>
        <v>C:\Users\harry\OneDrive\Documents\business\Celerint\customers\Amkor\Amkor Demo Program Files\dib0 IGXL program files\[dib0_tests_v6.xlsm]TDRData</v>
      </c>
    </row>
    <row r="6" spans="1:1" x14ac:dyDescent="0.25">
      <c r="A6" s="11" t="str">
        <f ca="1">CELL("filename",'Time Sets'!$A$1)</f>
        <v>C:\Users\harry\OneDrive\Documents\business\Celerint\customers\Amkor\Amkor Demo Program Files\dib0 IGXL program files\[dib0_tests_v6.xlsm]Time Sets</v>
      </c>
    </row>
    <row r="7" spans="1:1" x14ac:dyDescent="0.25">
      <c r="A7" s="11" t="str">
        <f ca="1">CELL("filename",Levels!$A$1)</f>
        <v>C:\Users\harry\OneDrive\Documents\business\Celerint\customers\Amkor\Amkor Demo Program Files\dib0 IGXL program files\[dib0_tests_v6.xlsm]Levels</v>
      </c>
    </row>
    <row r="8" spans="1:1" x14ac:dyDescent="0.25">
      <c r="A8" s="11" t="str">
        <f ca="1">CELL("filename",'Global Specs'!$A$1)</f>
        <v>C:\Users\harry\OneDrive\Documents\business\Celerint\customers\Amkor\Amkor Demo Program Files\dib0 IGXL program files\[dib0_tests_v6.xlsm]Global Specs</v>
      </c>
    </row>
    <row r="9" spans="1:1" x14ac:dyDescent="0.25">
      <c r="A9" s="11" t="str">
        <f ca="1">CELL("filename",'Pattern Sets'!$A$1)</f>
        <v>C:\Users\harry\OneDrive\Documents\business\Celerint\customers\Amkor\Amkor Demo Program Files\dib0 IGXL program files\[dib0_tests_v6.xlsm]Pattern Sets</v>
      </c>
    </row>
    <row r="10" spans="1:1" x14ac:dyDescent="0.25">
      <c r="A10" s="11" t="str">
        <f ca="1">CELL("filename",Pinmap!$A$1)</f>
        <v>C:\Users\harry\OneDrive\Documents\business\Celerint\customers\Amkor\Amkor Demo Program Files\dib0 IGXL program files\[dib0_tests_v6.xlsm]Pinmap</v>
      </c>
    </row>
    <row r="11" spans="1:1" x14ac:dyDescent="0.25">
      <c r="A11" s="11" t="str">
        <f ca="1">CELL("filename",'Channel Map'!$A$1)</f>
        <v>C:\Users\harry\OneDrive\Documents\business\Celerint\customers\Amkor\Amkor Demo Program Files\dib0 IGXL program files\[dib0_tests_v6.xlsm]Channel Map</v>
      </c>
    </row>
    <row r="12" spans="1:1" x14ac:dyDescent="0.25">
      <c r="A12" s="11" t="str">
        <f ca="1">CELL("filename",'Test Instances'!$A$1)</f>
        <v>C:\Users\harry\OneDrive\Documents\business\Celerint\customers\Amkor\Amkor Demo Program Files\dib0 IGXL program files\[dib0_tests_v6.xlsm]Test Instances</v>
      </c>
    </row>
    <row r="13" spans="1:1" x14ac:dyDescent="0.25">
      <c r="A13" s="11" t="str">
        <f ca="1">CELL("filename",'Flow Table'!$A$1)</f>
        <v>C:\Users\harry\OneDrive\Documents\business\Celerint\customers\Amkor\Amkor Demo Program Files\dib0 IGXL program files\[dib0_tests_v6.xlsm]Flow Table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J9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9.109375" defaultRowHeight="18.600000000000001" customHeight="1" x14ac:dyDescent="0.25"/>
  <cols>
    <col min="1" max="1" width="9.109375" style="11"/>
    <col min="2" max="2" width="13.44140625" style="11" customWidth="1"/>
    <col min="3" max="3" width="9.109375" style="11"/>
    <col min="4" max="5" width="13.44140625" style="11" customWidth="1"/>
    <col min="6" max="6" width="42.88671875" style="11" customWidth="1"/>
    <col min="7" max="7" width="9.109375" style="11"/>
    <col min="8" max="9" width="13.44140625" style="11" customWidth="1"/>
    <col min="10" max="10" width="42.88671875" style="11" customWidth="1"/>
    <col min="11" max="16384" width="9.109375" style="11"/>
  </cols>
  <sheetData>
    <row r="1" spans="1:10" ht="24.6" x14ac:dyDescent="0.4">
      <c r="A1" s="14" t="s">
        <v>273</v>
      </c>
      <c r="B1" s="46" t="s">
        <v>281</v>
      </c>
      <c r="C1" s="46"/>
      <c r="D1" s="46"/>
      <c r="E1" s="46"/>
      <c r="F1" s="46"/>
    </row>
    <row r="2" spans="1:10" ht="13.8" thickBot="1" x14ac:dyDescent="0.3"/>
    <row r="3" spans="1:10" s="12" customFormat="1" ht="27" thickBot="1" x14ac:dyDescent="0.3">
      <c r="B3" s="15" t="s">
        <v>274</v>
      </c>
      <c r="C3" s="16" t="s">
        <v>275</v>
      </c>
      <c r="D3" s="16" t="s">
        <v>276</v>
      </c>
      <c r="E3" s="16" t="s">
        <v>50</v>
      </c>
      <c r="F3" s="15" t="s">
        <v>277</v>
      </c>
      <c r="G3" s="15" t="s">
        <v>278</v>
      </c>
      <c r="H3" s="16" t="s">
        <v>279</v>
      </c>
      <c r="I3" s="16" t="s">
        <v>280</v>
      </c>
      <c r="J3" s="16" t="s">
        <v>3</v>
      </c>
    </row>
    <row r="4" spans="1:10" ht="18.600000000000001" customHeight="1" x14ac:dyDescent="0.25">
      <c r="B4" s="21" t="s">
        <v>284</v>
      </c>
      <c r="C4" s="19"/>
      <c r="D4" s="17"/>
      <c r="E4" s="19"/>
      <c r="F4" s="17" t="s">
        <v>282</v>
      </c>
      <c r="G4" s="17" t="s">
        <v>283</v>
      </c>
      <c r="H4" s="23"/>
      <c r="I4" s="23"/>
      <c r="J4" s="19"/>
    </row>
    <row r="5" spans="1:10" ht="18.600000000000001" customHeight="1" x14ac:dyDescent="0.25">
      <c r="B5" s="20" t="s">
        <v>286</v>
      </c>
      <c r="C5" s="19"/>
      <c r="D5" s="17"/>
      <c r="E5" s="19"/>
      <c r="F5" s="17" t="s">
        <v>288</v>
      </c>
      <c r="G5" s="17" t="s">
        <v>283</v>
      </c>
      <c r="H5" s="23"/>
      <c r="I5" s="23"/>
      <c r="J5" s="19"/>
    </row>
    <row r="6" spans="1:10" ht="18.600000000000001" customHeight="1" x14ac:dyDescent="0.25">
      <c r="B6" s="20" t="s">
        <v>287</v>
      </c>
      <c r="C6" s="19"/>
      <c r="D6" s="17"/>
      <c r="E6" s="19"/>
      <c r="F6" s="17" t="s">
        <v>289</v>
      </c>
      <c r="G6" s="17" t="s">
        <v>283</v>
      </c>
      <c r="H6" s="23"/>
      <c r="I6" s="23"/>
      <c r="J6" s="19"/>
    </row>
    <row r="7" spans="1:10" ht="18.600000000000001" customHeight="1" x14ac:dyDescent="0.25">
      <c r="B7" s="20" t="s">
        <v>306</v>
      </c>
      <c r="C7" s="19"/>
      <c r="D7" s="17"/>
      <c r="E7" s="19"/>
      <c r="F7" s="17" t="s">
        <v>307</v>
      </c>
      <c r="G7" s="17" t="s">
        <v>283</v>
      </c>
      <c r="H7" s="23"/>
      <c r="I7" s="23"/>
      <c r="J7" s="19"/>
    </row>
    <row r="8" spans="1:10" ht="18.600000000000001" customHeight="1" x14ac:dyDescent="0.25">
      <c r="B8" s="20" t="s">
        <v>320</v>
      </c>
      <c r="C8" s="19"/>
      <c r="D8" s="17"/>
      <c r="E8" s="19"/>
      <c r="F8" s="17" t="s">
        <v>321</v>
      </c>
      <c r="G8" s="17" t="s">
        <v>283</v>
      </c>
      <c r="H8" s="23"/>
      <c r="I8" s="23"/>
      <c r="J8" s="19"/>
    </row>
    <row r="9" spans="1:10" ht="18.600000000000001" customHeight="1" x14ac:dyDescent="0.25">
      <c r="B9" s="20" t="s">
        <v>341</v>
      </c>
      <c r="C9" s="19"/>
      <c r="D9" s="17"/>
      <c r="E9" s="19"/>
      <c r="F9" s="17" t="s">
        <v>342</v>
      </c>
      <c r="G9" s="17" t="s">
        <v>283</v>
      </c>
      <c r="H9" s="23"/>
      <c r="I9" s="23"/>
      <c r="J9" s="19"/>
    </row>
  </sheetData>
  <mergeCells count="1">
    <mergeCell ref="B1:F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outlinePr summaryBelow="0" summaryRight="0"/>
  </sheetPr>
  <dimension ref="A1:E7"/>
  <sheetViews>
    <sheetView showGridLines="0" workbookViewId="0">
      <pane ySplit="3" topLeftCell="A4" activePane="bottomLeft" state="frozen"/>
      <selection pane="bottomLeft" activeCell="D5" sqref="D5"/>
    </sheetView>
  </sheetViews>
  <sheetFormatPr defaultColWidth="9.109375" defaultRowHeight="18.600000000000001" customHeight="1" x14ac:dyDescent="0.25"/>
  <cols>
    <col min="1" max="1" width="9.109375" style="11"/>
    <col min="2" max="2" width="17.5546875" style="11" customWidth="1"/>
    <col min="3" max="4" width="13.44140625" style="11" customWidth="1"/>
    <col min="5" max="5" width="42.88671875" style="11" customWidth="1"/>
    <col min="6" max="16384" width="9.109375" style="11"/>
  </cols>
  <sheetData>
    <row r="1" spans="1:5" ht="25.5" customHeight="1" x14ac:dyDescent="0.4">
      <c r="A1" s="14" t="s">
        <v>164</v>
      </c>
      <c r="B1" s="46" t="s">
        <v>12</v>
      </c>
      <c r="C1" s="46"/>
      <c r="D1" s="46"/>
      <c r="E1" s="46"/>
    </row>
    <row r="2" spans="1:5" ht="13.8" thickBot="1" x14ac:dyDescent="0.3"/>
    <row r="3" spans="1:5" s="12" customFormat="1" ht="13.8" thickBot="1" x14ac:dyDescent="0.3">
      <c r="B3" s="15" t="s">
        <v>9</v>
      </c>
      <c r="C3" s="16" t="s">
        <v>10</v>
      </c>
      <c r="D3" s="15" t="s">
        <v>11</v>
      </c>
      <c r="E3" s="16" t="s">
        <v>3</v>
      </c>
    </row>
    <row r="4" spans="1:5" ht="18.600000000000001" customHeight="1" x14ac:dyDescent="0.3">
      <c r="B4" s="21" t="s">
        <v>5</v>
      </c>
      <c r="C4" s="17"/>
      <c r="D4" s="18">
        <v>-1</v>
      </c>
      <c r="E4" s="19" t="s">
        <v>6</v>
      </c>
    </row>
    <row r="5" spans="1:5" ht="18.600000000000001" customHeight="1" x14ac:dyDescent="0.3">
      <c r="B5" s="20" t="s">
        <v>7</v>
      </c>
      <c r="C5" s="17"/>
      <c r="D5" s="18">
        <v>6</v>
      </c>
      <c r="E5" s="19" t="s">
        <v>8</v>
      </c>
    </row>
    <row r="6" spans="1:5" ht="18.600000000000001" customHeight="1" x14ac:dyDescent="0.3">
      <c r="B6" s="20" t="s">
        <v>174</v>
      </c>
      <c r="C6" s="17"/>
      <c r="D6" s="18">
        <v>5</v>
      </c>
      <c r="E6" s="19" t="s">
        <v>175</v>
      </c>
    </row>
    <row r="7" spans="1:5" ht="18.600000000000001" customHeight="1" x14ac:dyDescent="0.3">
      <c r="B7" s="20" t="s">
        <v>359</v>
      </c>
      <c r="C7" s="17"/>
      <c r="D7" s="18" t="s">
        <v>360</v>
      </c>
      <c r="E7" s="19" t="s">
        <v>361</v>
      </c>
    </row>
  </sheetData>
  <mergeCells count="1">
    <mergeCell ref="B1:E1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15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9.109375" defaultRowHeight="18.600000000000001" customHeight="1" outlineLevelRow="1" x14ac:dyDescent="0.25"/>
  <cols>
    <col min="1" max="1" width="9.109375" style="11"/>
    <col min="2" max="2" width="13.44140625" style="11" customWidth="1"/>
    <col min="3" max="3" width="6.33203125" style="11" customWidth="1"/>
    <col min="4" max="4" width="13.44140625" style="11" customWidth="1"/>
    <col min="5" max="5" width="17.5546875" style="11" customWidth="1"/>
    <col min="6" max="6" width="42.88671875" style="11" customWidth="1"/>
    <col min="7" max="16384" width="9.109375" style="11"/>
  </cols>
  <sheetData>
    <row r="1" spans="1:6" ht="24.6" x14ac:dyDescent="0.4">
      <c r="A1" s="14" t="s">
        <v>211</v>
      </c>
      <c r="B1" s="46" t="s">
        <v>16</v>
      </c>
      <c r="C1" s="46"/>
      <c r="D1" s="46"/>
      <c r="E1" s="46"/>
      <c r="F1" s="46"/>
    </row>
    <row r="2" spans="1:6" ht="13.8" thickBot="1" x14ac:dyDescent="0.3"/>
    <row r="3" spans="1:6" s="12" customFormat="1" ht="13.8" thickBot="1" x14ac:dyDescent="0.3">
      <c r="B3" s="15" t="s">
        <v>197</v>
      </c>
      <c r="C3" s="16" t="s">
        <v>212</v>
      </c>
      <c r="D3" s="15" t="s">
        <v>53</v>
      </c>
      <c r="E3" s="15" t="s">
        <v>11</v>
      </c>
      <c r="F3" s="16" t="s">
        <v>3</v>
      </c>
    </row>
    <row r="4" spans="1:6" ht="18.600000000000001" customHeight="1" collapsed="1" x14ac:dyDescent="0.25">
      <c r="B4" s="26" t="s">
        <v>248</v>
      </c>
      <c r="C4" s="19"/>
      <c r="D4" s="17" t="s">
        <v>249</v>
      </c>
      <c r="E4" s="19">
        <v>0</v>
      </c>
      <c r="F4" s="19"/>
    </row>
    <row r="5" spans="1:6" ht="18.600000000000001" hidden="1" customHeight="1" outlineLevel="1" x14ac:dyDescent="0.25">
      <c r="B5" s="28" t="s">
        <v>248</v>
      </c>
      <c r="C5" s="23"/>
      <c r="D5" s="17" t="s">
        <v>250</v>
      </c>
      <c r="E5" s="19">
        <v>3</v>
      </c>
      <c r="F5" s="19"/>
    </row>
    <row r="6" spans="1:6" ht="18.600000000000001" hidden="1" customHeight="1" outlineLevel="1" x14ac:dyDescent="0.25">
      <c r="B6" s="28" t="s">
        <v>248</v>
      </c>
      <c r="C6" s="23"/>
      <c r="D6" s="17" t="s">
        <v>251</v>
      </c>
      <c r="E6" s="19">
        <v>2.8</v>
      </c>
      <c r="F6" s="19"/>
    </row>
    <row r="7" spans="1:6" ht="18.600000000000001" hidden="1" customHeight="1" outlineLevel="1" x14ac:dyDescent="0.25">
      <c r="B7" s="28" t="s">
        <v>248</v>
      </c>
      <c r="C7" s="23"/>
      <c r="D7" s="17" t="s">
        <v>252</v>
      </c>
      <c r="E7" s="19">
        <v>2.8</v>
      </c>
      <c r="F7" s="19"/>
    </row>
    <row r="8" spans="1:6" ht="18.600000000000001" hidden="1" customHeight="1" outlineLevel="1" x14ac:dyDescent="0.25">
      <c r="B8" s="28" t="s">
        <v>248</v>
      </c>
      <c r="C8" s="23"/>
      <c r="D8" s="17" t="s">
        <v>253</v>
      </c>
      <c r="E8" s="19">
        <v>0</v>
      </c>
      <c r="F8" s="19"/>
    </row>
    <row r="9" spans="1:6" ht="18.600000000000001" hidden="1" customHeight="1" outlineLevel="1" x14ac:dyDescent="0.25">
      <c r="B9" s="28" t="s">
        <v>248</v>
      </c>
      <c r="C9" s="23"/>
      <c r="D9" s="17" t="s">
        <v>254</v>
      </c>
      <c r="E9" s="19">
        <v>0</v>
      </c>
      <c r="F9" s="19"/>
    </row>
    <row r="10" spans="1:6" ht="18.600000000000001" hidden="1" customHeight="1" outlineLevel="1" x14ac:dyDescent="0.25">
      <c r="B10" s="28" t="s">
        <v>248</v>
      </c>
      <c r="C10" s="23"/>
      <c r="D10" s="17" t="s">
        <v>255</v>
      </c>
      <c r="E10" s="19">
        <v>1.5</v>
      </c>
      <c r="F10" s="19"/>
    </row>
    <row r="11" spans="1:6" ht="18.600000000000001" hidden="1" customHeight="1" outlineLevel="1" x14ac:dyDescent="0.25">
      <c r="B11" s="28" t="s">
        <v>248</v>
      </c>
      <c r="C11" s="23"/>
      <c r="D11" s="17" t="s">
        <v>256</v>
      </c>
      <c r="E11" s="19">
        <f>_Vcl_default</f>
        <v>-1</v>
      </c>
      <c r="F11" s="19"/>
    </row>
    <row r="12" spans="1:6" ht="18.600000000000001" hidden="1" customHeight="1" outlineLevel="1" x14ac:dyDescent="0.25">
      <c r="B12" s="28" t="s">
        <v>248</v>
      </c>
      <c r="C12" s="23"/>
      <c r="D12" s="17" t="s">
        <v>257</v>
      </c>
      <c r="E12" s="19">
        <f>_Vch_default</f>
        <v>6</v>
      </c>
      <c r="F12" s="19"/>
    </row>
    <row r="13" spans="1:6" ht="18.600000000000001" hidden="1" customHeight="1" outlineLevel="1" x14ac:dyDescent="0.25">
      <c r="B13" s="28" t="s">
        <v>248</v>
      </c>
      <c r="C13" s="23"/>
      <c r="D13" s="17" t="s">
        <v>258</v>
      </c>
      <c r="E13" s="19">
        <v>0</v>
      </c>
      <c r="F13" s="19"/>
    </row>
    <row r="14" spans="1:6" ht="18.600000000000001" hidden="1" customHeight="1" outlineLevel="1" x14ac:dyDescent="0.25">
      <c r="B14" s="28" t="s">
        <v>248</v>
      </c>
      <c r="C14" s="23"/>
      <c r="D14" s="17" t="s">
        <v>259</v>
      </c>
      <c r="E14" s="19">
        <v>0</v>
      </c>
      <c r="F14" s="19"/>
    </row>
    <row r="15" spans="1:6" ht="18.600000000000001" hidden="1" customHeight="1" outlineLevel="1" x14ac:dyDescent="0.25">
      <c r="B15" s="28" t="s">
        <v>248</v>
      </c>
      <c r="C15" s="23"/>
      <c r="D15" s="17" t="s">
        <v>260</v>
      </c>
      <c r="E15" s="19" t="s">
        <v>261</v>
      </c>
      <c r="F15" s="19"/>
    </row>
  </sheetData>
  <autoFilter ref="D3:D4" xr:uid="{00000000-0009-0000-0000-000008000000}"/>
  <mergeCells count="1">
    <mergeCell ref="B1:F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5152" r:id="rId4" name="ComboBox21">
          <controlPr defaultSize="0" autoLine="0" linkedCell="Levels!$B$4" r:id="rId5">
            <anchor moveWithCells="1">
              <from>
                <xdr:col>1</xdr:col>
                <xdr:colOff>7620</xdr:colOff>
                <xdr:row>3</xdr:row>
                <xdr:rowOff>7620</xdr:rowOff>
              </from>
              <to>
                <xdr:col>2</xdr:col>
                <xdr:colOff>160020</xdr:colOff>
                <xdr:row>3</xdr:row>
                <xdr:rowOff>205740</xdr:rowOff>
              </to>
            </anchor>
          </controlPr>
        </control>
      </mc:Choice>
      <mc:Fallback>
        <control shapeId="45152" r:id="rId4" name="ComboBox2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R12"/>
  <sheetViews>
    <sheetView showGridLines="0" workbookViewId="0">
      <pane ySplit="7" topLeftCell="A8" activePane="bottomLeft" state="frozen"/>
      <selection pane="bottomLeft" activeCell="B8" sqref="B8"/>
    </sheetView>
  </sheetViews>
  <sheetFormatPr defaultColWidth="9.109375" defaultRowHeight="18.600000000000001" customHeight="1" x14ac:dyDescent="0.25"/>
  <cols>
    <col min="1" max="1" width="9.109375" style="11"/>
    <col min="2" max="6" width="13.44140625" style="11" customWidth="1"/>
    <col min="7" max="8" width="9.109375" style="11"/>
    <col min="9" max="16" width="13.44140625" style="11" customWidth="1"/>
    <col min="17" max="17" width="17.5546875" style="11" customWidth="1"/>
    <col min="18" max="18" width="42.88671875" style="11" customWidth="1"/>
    <col min="19" max="16384" width="9.109375" style="11"/>
  </cols>
  <sheetData>
    <row r="1" spans="1:18" ht="24.6" x14ac:dyDescent="0.4">
      <c r="A1" s="14" t="s">
        <v>190</v>
      </c>
      <c r="B1" s="46" t="s">
        <v>210</v>
      </c>
      <c r="C1" s="46"/>
      <c r="D1" s="46"/>
      <c r="E1" s="46"/>
      <c r="F1" s="46"/>
    </row>
    <row r="2" spans="1:18" ht="13.2" x14ac:dyDescent="0.25"/>
    <row r="3" spans="1:18" ht="18.600000000000001" customHeight="1" x14ac:dyDescent="0.25">
      <c r="B3" s="22" t="s">
        <v>188</v>
      </c>
      <c r="C3" s="13" t="s">
        <v>189</v>
      </c>
      <c r="E3" s="22" t="s">
        <v>185</v>
      </c>
      <c r="F3" s="13"/>
    </row>
    <row r="4" spans="1:18" ht="13.2" x14ac:dyDescent="0.25">
      <c r="B4" s="22" t="s">
        <v>187</v>
      </c>
      <c r="C4" s="13"/>
      <c r="E4" s="22" t="s">
        <v>186</v>
      </c>
      <c r="F4" s="13"/>
    </row>
    <row r="5" spans="1:18" ht="13.8" thickBot="1" x14ac:dyDescent="0.3"/>
    <row r="6" spans="1:18" s="12" customFormat="1" ht="13.8" thickBot="1" x14ac:dyDescent="0.3">
      <c r="C6" s="30" t="s">
        <v>193</v>
      </c>
      <c r="D6" s="47" t="s">
        <v>197</v>
      </c>
      <c r="E6" s="49"/>
      <c r="F6" s="48"/>
      <c r="G6" s="47" t="s">
        <v>200</v>
      </c>
      <c r="H6" s="48"/>
      <c r="I6" s="47" t="s">
        <v>204</v>
      </c>
      <c r="J6" s="49"/>
      <c r="K6" s="49"/>
      <c r="L6" s="48"/>
      <c r="M6" s="47" t="s">
        <v>208</v>
      </c>
      <c r="N6" s="49"/>
      <c r="O6" s="49"/>
      <c r="P6" s="48"/>
      <c r="Q6" s="30" t="s">
        <v>209</v>
      </c>
    </row>
    <row r="7" spans="1:18" s="12" customFormat="1" ht="13.8" thickBot="1" x14ac:dyDescent="0.3">
      <c r="B7" s="15" t="s">
        <v>191</v>
      </c>
      <c r="C7" s="15" t="s">
        <v>192</v>
      </c>
      <c r="D7" s="15" t="s">
        <v>13</v>
      </c>
      <c r="E7" s="16" t="s">
        <v>194</v>
      </c>
      <c r="F7" s="16" t="s">
        <v>195</v>
      </c>
      <c r="G7" s="15" t="s">
        <v>196</v>
      </c>
      <c r="H7" s="15" t="s">
        <v>198</v>
      </c>
      <c r="I7" s="15" t="s">
        <v>199</v>
      </c>
      <c r="J7" s="15" t="s">
        <v>200</v>
      </c>
      <c r="K7" s="15" t="s">
        <v>201</v>
      </c>
      <c r="L7" s="15" t="s">
        <v>202</v>
      </c>
      <c r="M7" s="15" t="s">
        <v>203</v>
      </c>
      <c r="N7" s="15" t="s">
        <v>205</v>
      </c>
      <c r="O7" s="15" t="s">
        <v>206</v>
      </c>
      <c r="P7" s="15" t="s">
        <v>207</v>
      </c>
      <c r="Q7" s="15" t="s">
        <v>203</v>
      </c>
      <c r="R7" s="16" t="s">
        <v>3</v>
      </c>
    </row>
    <row r="8" spans="1:18" ht="18.600000000000001" customHeight="1" x14ac:dyDescent="0.3">
      <c r="B8" s="21" t="s">
        <v>262</v>
      </c>
      <c r="C8" s="18">
        <v>4.0000000000000002E-9</v>
      </c>
      <c r="D8" s="17" t="s">
        <v>248</v>
      </c>
      <c r="E8" s="18"/>
      <c r="F8" s="19"/>
      <c r="G8" s="17" t="s">
        <v>264</v>
      </c>
      <c r="H8" s="17" t="s">
        <v>265</v>
      </c>
      <c r="I8" s="31"/>
      <c r="J8" s="18">
        <v>0</v>
      </c>
      <c r="K8" s="31"/>
      <c r="L8" s="18"/>
      <c r="M8" s="17" t="s">
        <v>266</v>
      </c>
      <c r="N8" s="18"/>
      <c r="O8" s="31"/>
      <c r="P8" s="31"/>
      <c r="Q8" s="17" t="s">
        <v>267</v>
      </c>
      <c r="R8" s="19"/>
    </row>
    <row r="9" spans="1:18" ht="18.600000000000001" customHeight="1" x14ac:dyDescent="0.3">
      <c r="B9" s="20" t="s">
        <v>263</v>
      </c>
      <c r="C9" s="18">
        <v>4.0000000000000002E-9</v>
      </c>
      <c r="D9" s="17" t="s">
        <v>248</v>
      </c>
      <c r="E9" s="18"/>
      <c r="F9" s="19"/>
      <c r="G9" s="17" t="s">
        <v>264</v>
      </c>
      <c r="H9" s="17" t="s">
        <v>265</v>
      </c>
      <c r="I9" s="31"/>
      <c r="J9" s="18"/>
      <c r="K9" s="31"/>
      <c r="L9" s="18"/>
      <c r="M9" s="17" t="s">
        <v>266</v>
      </c>
      <c r="N9" s="18">
        <v>3.3999999999999998E-9</v>
      </c>
      <c r="O9" s="31"/>
      <c r="P9" s="31"/>
      <c r="Q9" s="17" t="s">
        <v>267</v>
      </c>
      <c r="R9" s="19"/>
    </row>
    <row r="10" spans="1:18" ht="18.600000000000001" customHeight="1" x14ac:dyDescent="0.3">
      <c r="B10" s="20" t="s">
        <v>272</v>
      </c>
      <c r="C10" s="18">
        <v>4.0000000000000002E-9</v>
      </c>
      <c r="D10" s="17" t="s">
        <v>248</v>
      </c>
      <c r="E10" s="18"/>
      <c r="F10" s="19"/>
      <c r="G10" s="17" t="s">
        <v>264</v>
      </c>
      <c r="H10" s="17" t="s">
        <v>265</v>
      </c>
      <c r="I10" s="31"/>
      <c r="J10" s="18">
        <v>4.0000000000000002E-9</v>
      </c>
      <c r="K10" s="31"/>
      <c r="L10" s="18"/>
      <c r="M10" s="17" t="s">
        <v>266</v>
      </c>
      <c r="N10" s="18"/>
      <c r="O10" s="31"/>
      <c r="P10" s="31"/>
      <c r="Q10" s="17" t="s">
        <v>267</v>
      </c>
      <c r="R10" s="19"/>
    </row>
    <row r="11" spans="1:18" ht="18.600000000000001" customHeight="1" x14ac:dyDescent="0.3">
      <c r="B11" s="20" t="s">
        <v>304</v>
      </c>
      <c r="C11" s="18">
        <v>4.0000000000000002E-9</v>
      </c>
      <c r="D11" s="17" t="s">
        <v>248</v>
      </c>
      <c r="E11" s="18"/>
      <c r="F11" s="19"/>
      <c r="G11" s="17" t="s">
        <v>264</v>
      </c>
      <c r="H11" s="17" t="s">
        <v>265</v>
      </c>
      <c r="I11" s="31"/>
      <c r="J11" s="18"/>
      <c r="K11" s="31"/>
      <c r="L11" s="18"/>
      <c r="M11" s="17" t="s">
        <v>266</v>
      </c>
      <c r="N11" s="18">
        <v>6E-10</v>
      </c>
      <c r="O11" s="31"/>
      <c r="P11" s="31"/>
      <c r="Q11" s="17" t="s">
        <v>267</v>
      </c>
      <c r="R11" s="19"/>
    </row>
    <row r="12" spans="1:18" ht="18.600000000000001" customHeight="1" x14ac:dyDescent="0.3">
      <c r="B12" s="20" t="s">
        <v>305</v>
      </c>
      <c r="C12" s="18">
        <v>8.0000000000000005E-9</v>
      </c>
      <c r="D12" s="17" t="s">
        <v>248</v>
      </c>
      <c r="E12" s="18"/>
      <c r="F12" s="19"/>
      <c r="G12" s="17" t="s">
        <v>264</v>
      </c>
      <c r="H12" s="17" t="s">
        <v>265</v>
      </c>
      <c r="I12" s="31"/>
      <c r="J12" s="18">
        <v>7.9999999999999998E-12</v>
      </c>
      <c r="K12" s="31"/>
      <c r="L12" s="18"/>
      <c r="M12" s="17" t="s">
        <v>266</v>
      </c>
      <c r="N12" s="18">
        <v>1.52E-8</v>
      </c>
      <c r="O12" s="31"/>
      <c r="P12" s="31"/>
      <c r="Q12" s="17" t="s">
        <v>267</v>
      </c>
      <c r="R12" s="19"/>
    </row>
  </sheetData>
  <autoFilter ref="D7:D8" xr:uid="{00000000-0009-0000-0000-000009000000}"/>
  <mergeCells count="5">
    <mergeCell ref="D6:F6"/>
    <mergeCell ref="G6:H6"/>
    <mergeCell ref="I6:L6"/>
    <mergeCell ref="M6:P6"/>
    <mergeCell ref="B1:F1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B7"/>
  <sheetViews>
    <sheetView workbookViewId="0">
      <selection sqref="A1:B1048576"/>
    </sheetView>
  </sheetViews>
  <sheetFormatPr defaultRowHeight="13.2" x14ac:dyDescent="0.25"/>
  <cols>
    <col min="1" max="1" width="7.44140625" style="8" bestFit="1" customWidth="1"/>
    <col min="2" max="2" width="12.44140625" style="8" bestFit="1" customWidth="1"/>
  </cols>
  <sheetData>
    <row r="1" spans="1:2" s="7" customFormat="1" x14ac:dyDescent="0.25">
      <c r="A1" s="8" t="s">
        <v>317</v>
      </c>
      <c r="B1" s="8" t="s">
        <v>315</v>
      </c>
    </row>
    <row r="2" spans="1:2" x14ac:dyDescent="0.25">
      <c r="A2" s="8">
        <v>8.2379999999999995</v>
      </c>
      <c r="B2" s="8">
        <v>1.698</v>
      </c>
    </row>
    <row r="3" spans="1:2" x14ac:dyDescent="0.25">
      <c r="A3" s="8">
        <v>8.2420000000000009</v>
      </c>
      <c r="B3" s="8">
        <v>1.921</v>
      </c>
    </row>
    <row r="4" spans="1:2" x14ac:dyDescent="0.25">
      <c r="A4" s="8">
        <v>8.2430000000000003</v>
      </c>
      <c r="B4" s="8">
        <v>1.9139999999999999</v>
      </c>
    </row>
    <row r="5" spans="1:2" x14ac:dyDescent="0.25">
      <c r="A5" s="8">
        <v>16.27</v>
      </c>
      <c r="B5" s="8">
        <v>2.6230000000000002</v>
      </c>
    </row>
    <row r="6" spans="1:2" x14ac:dyDescent="0.25">
      <c r="A6" s="8">
        <v>16.29</v>
      </c>
      <c r="B6" s="8">
        <v>2.33</v>
      </c>
    </row>
    <row r="7" spans="1:2" x14ac:dyDescent="0.25">
      <c r="A7" s="8">
        <v>16.248999999999999</v>
      </c>
      <c r="B7" s="8">
        <v>1.6479999999999999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D9"/>
  <sheetViews>
    <sheetView workbookViewId="0">
      <selection activeCell="I12" sqref="I12"/>
    </sheetView>
  </sheetViews>
  <sheetFormatPr defaultRowHeight="13.2" x14ac:dyDescent="0.25"/>
  <cols>
    <col min="1" max="2" width="13.5546875" customWidth="1"/>
  </cols>
  <sheetData>
    <row r="1" spans="1:4" x14ac:dyDescent="0.25">
      <c r="A1" t="s">
        <v>317</v>
      </c>
      <c r="B1" t="s">
        <v>318</v>
      </c>
    </row>
    <row r="2" spans="1:4" x14ac:dyDescent="0.25">
      <c r="A2">
        <v>8.2379999999999995</v>
      </c>
      <c r="B2" s="6">
        <v>7.78</v>
      </c>
      <c r="D2" s="6"/>
    </row>
    <row r="3" spans="1:4" x14ac:dyDescent="0.25">
      <c r="A3">
        <v>8.2420000000000009</v>
      </c>
      <c r="B3" s="6">
        <v>10.93</v>
      </c>
      <c r="D3" s="6"/>
    </row>
    <row r="4" spans="1:4" x14ac:dyDescent="0.25">
      <c r="A4">
        <v>8.2430000000000003</v>
      </c>
      <c r="B4" s="6">
        <v>10.93</v>
      </c>
      <c r="D4" s="6"/>
    </row>
    <row r="5" spans="1:4" x14ac:dyDescent="0.25">
      <c r="A5">
        <v>16.27</v>
      </c>
      <c r="B5" s="6">
        <v>14.98</v>
      </c>
      <c r="D5" s="6"/>
    </row>
    <row r="6" spans="1:4" x14ac:dyDescent="0.25">
      <c r="A6">
        <v>16.29</v>
      </c>
      <c r="B6" s="6">
        <v>13.3</v>
      </c>
      <c r="D6" s="6"/>
    </row>
    <row r="7" spans="1:4" x14ac:dyDescent="0.25">
      <c r="A7">
        <v>16.245000000000001</v>
      </c>
      <c r="B7" s="6">
        <v>11.33</v>
      </c>
      <c r="D7" s="6"/>
    </row>
    <row r="8" spans="1:4" x14ac:dyDescent="0.25">
      <c r="A8">
        <v>16.248999999999999</v>
      </c>
      <c r="B8" s="6">
        <v>9.41</v>
      </c>
      <c r="D8" s="6"/>
    </row>
    <row r="9" spans="1:4" x14ac:dyDescent="0.25">
      <c r="D9" s="6"/>
    </row>
  </sheetData>
  <sortState xmlns:xlrd2="http://schemas.microsoft.com/office/spreadsheetml/2017/richdata2" ref="A2:B8">
    <sortCondition ref="A2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J39"/>
  <sheetViews>
    <sheetView workbookViewId="0">
      <selection activeCell="H27" sqref="H27"/>
    </sheetView>
  </sheetViews>
  <sheetFormatPr defaultColWidth="8.88671875" defaultRowHeight="13.2" x14ac:dyDescent="0.25"/>
  <cols>
    <col min="1" max="8" width="23.6640625" style="4" customWidth="1"/>
    <col min="9" max="10" width="8.88671875" style="9"/>
    <col min="11" max="16384" width="8.88671875" style="4"/>
  </cols>
  <sheetData>
    <row r="1" spans="1:10" x14ac:dyDescent="0.25">
      <c r="A1" s="10" t="s">
        <v>328</v>
      </c>
      <c r="B1" s="10" t="s">
        <v>329</v>
      </c>
      <c r="C1" s="10" t="s">
        <v>330</v>
      </c>
      <c r="D1" s="10" t="s">
        <v>331</v>
      </c>
      <c r="E1" s="10" t="s">
        <v>332</v>
      </c>
      <c r="F1" s="10" t="s">
        <v>331</v>
      </c>
      <c r="G1" s="10" t="s">
        <v>333</v>
      </c>
      <c r="I1" s="4"/>
      <c r="J1" s="4"/>
    </row>
    <row r="2" spans="1:10" x14ac:dyDescent="0.25">
      <c r="A2" s="10" t="s">
        <v>345</v>
      </c>
      <c r="B2" s="10" t="s">
        <v>338</v>
      </c>
      <c r="C2" s="10" t="s">
        <v>335</v>
      </c>
      <c r="D2" s="10" t="s">
        <v>346</v>
      </c>
      <c r="E2" s="10" t="s">
        <v>347</v>
      </c>
      <c r="F2" s="10" t="s">
        <v>336</v>
      </c>
      <c r="G2" s="10" t="s">
        <v>337</v>
      </c>
      <c r="H2" s="10" t="s">
        <v>334</v>
      </c>
      <c r="I2" s="4"/>
      <c r="J2" s="4"/>
    </row>
    <row r="3" spans="1:10" x14ac:dyDescent="0.25">
      <c r="A3" s="10" t="s">
        <v>348</v>
      </c>
      <c r="B3" s="10" t="s">
        <v>349</v>
      </c>
      <c r="C3" s="10" t="s">
        <v>350</v>
      </c>
      <c r="D3" s="10" t="s">
        <v>351</v>
      </c>
      <c r="E3" s="10" t="s">
        <v>352</v>
      </c>
      <c r="F3" s="10" t="s">
        <v>353</v>
      </c>
      <c r="G3" s="10" t="s">
        <v>354</v>
      </c>
      <c r="H3" s="10" t="s">
        <v>355</v>
      </c>
      <c r="I3" s="4"/>
      <c r="J3" s="4"/>
    </row>
    <row r="4" spans="1:10" ht="14.4" x14ac:dyDescent="0.3">
      <c r="A4" s="4">
        <v>8.2379999999999995</v>
      </c>
      <c r="B4" s="4">
        <v>10.187999999999999</v>
      </c>
      <c r="C4" s="5">
        <v>1.698</v>
      </c>
      <c r="D4" s="2">
        <f>B4/C4</f>
        <v>5.9999999999999991</v>
      </c>
      <c r="E4" s="2">
        <f>1/D4</f>
        <v>0.16666666666666669</v>
      </c>
      <c r="F4" s="3">
        <f>D4/11.8</f>
        <v>0.50847457627118631</v>
      </c>
      <c r="G4" s="3">
        <f>(11.8/D4)^2</f>
        <v>3.8677777777777793</v>
      </c>
      <c r="H4" s="1" t="str">
        <f>IF(AND(G4&gt;3.8, G4&lt;4.8),"yes","no")</f>
        <v>yes</v>
      </c>
      <c r="I4" s="4"/>
      <c r="J4" s="4"/>
    </row>
    <row r="5" spans="1:10" ht="14.4" x14ac:dyDescent="0.3">
      <c r="A5" s="4">
        <v>8.2420000000000009</v>
      </c>
      <c r="B5" s="4">
        <v>11.526</v>
      </c>
      <c r="C5" s="5">
        <v>1.921</v>
      </c>
      <c r="D5" s="2">
        <f t="shared" ref="D5:D10" si="0">B5/C5</f>
        <v>6</v>
      </c>
      <c r="E5" s="2">
        <f t="shared" ref="E5:E10" si="1">1/D5</f>
        <v>0.16666666666666666</v>
      </c>
      <c r="F5" s="3">
        <f t="shared" ref="F5:F10" si="2">D5/11.8</f>
        <v>0.50847457627118642</v>
      </c>
      <c r="G5" s="3">
        <f t="shared" ref="G5:G10" si="3">(11.8/D5)^2</f>
        <v>3.8677777777777784</v>
      </c>
      <c r="H5" s="1" t="str">
        <f t="shared" ref="H5:H10" si="4">IF(AND(G5&gt;3.8, G5&lt;4.8),"yes","no")</f>
        <v>yes</v>
      </c>
      <c r="I5" s="4"/>
      <c r="J5" s="4"/>
    </row>
    <row r="6" spans="1:10" ht="14.4" x14ac:dyDescent="0.3">
      <c r="A6" s="4">
        <v>8.2430000000000003</v>
      </c>
      <c r="B6" s="4">
        <v>11.484</v>
      </c>
      <c r="C6" s="5">
        <v>1.9139999999999999</v>
      </c>
      <c r="D6" s="2">
        <f t="shared" si="0"/>
        <v>6</v>
      </c>
      <c r="E6" s="2">
        <f t="shared" si="1"/>
        <v>0.16666666666666666</v>
      </c>
      <c r="F6" s="3">
        <f t="shared" si="2"/>
        <v>0.50847457627118642</v>
      </c>
      <c r="G6" s="3">
        <f t="shared" si="3"/>
        <v>3.8677777777777784</v>
      </c>
      <c r="H6" s="1" t="str">
        <f t="shared" si="4"/>
        <v>yes</v>
      </c>
      <c r="I6" s="4"/>
      <c r="J6" s="4"/>
    </row>
    <row r="7" spans="1:10" ht="14.4" x14ac:dyDescent="0.3">
      <c r="A7" s="4">
        <v>16.27</v>
      </c>
      <c r="B7" s="4">
        <v>15.738000000000001</v>
      </c>
      <c r="C7" s="5">
        <v>2.6230000000000002</v>
      </c>
      <c r="D7" s="2">
        <f t="shared" si="0"/>
        <v>6</v>
      </c>
      <c r="E7" s="2">
        <f t="shared" si="1"/>
        <v>0.16666666666666666</v>
      </c>
      <c r="F7" s="3">
        <f t="shared" si="2"/>
        <v>0.50847457627118642</v>
      </c>
      <c r="G7" s="3">
        <f t="shared" si="3"/>
        <v>3.8677777777777784</v>
      </c>
      <c r="H7" s="1" t="str">
        <f t="shared" si="4"/>
        <v>yes</v>
      </c>
      <c r="I7" s="4"/>
      <c r="J7" s="4"/>
    </row>
    <row r="8" spans="1:10" ht="14.4" x14ac:dyDescent="0.3">
      <c r="A8" s="4">
        <v>16.29</v>
      </c>
      <c r="B8" s="4">
        <v>13.98</v>
      </c>
      <c r="C8" s="5">
        <v>2.33</v>
      </c>
      <c r="D8" s="2">
        <f t="shared" si="0"/>
        <v>6</v>
      </c>
      <c r="E8" s="2">
        <f t="shared" si="1"/>
        <v>0.16666666666666666</v>
      </c>
      <c r="F8" s="3">
        <f t="shared" si="2"/>
        <v>0.50847457627118642</v>
      </c>
      <c r="G8" s="3">
        <f t="shared" si="3"/>
        <v>3.8677777777777784</v>
      </c>
      <c r="H8" s="1" t="str">
        <f t="shared" si="4"/>
        <v>yes</v>
      </c>
      <c r="I8" s="4"/>
      <c r="J8" s="4"/>
    </row>
    <row r="9" spans="1:10" ht="14.4" x14ac:dyDescent="0.3">
      <c r="A9" s="4">
        <v>16.245000000000001</v>
      </c>
      <c r="B9" s="4">
        <v>0</v>
      </c>
      <c r="D9" s="2" t="e">
        <f t="shared" si="0"/>
        <v>#DIV/0!</v>
      </c>
      <c r="E9" s="2" t="e">
        <f t="shared" si="1"/>
        <v>#DIV/0!</v>
      </c>
      <c r="F9" s="3" t="e">
        <f t="shared" si="2"/>
        <v>#DIV/0!</v>
      </c>
      <c r="G9" s="3" t="e">
        <f t="shared" si="3"/>
        <v>#DIV/0!</v>
      </c>
      <c r="H9" s="1" t="e">
        <f t="shared" si="4"/>
        <v>#DIV/0!</v>
      </c>
      <c r="I9" s="4"/>
      <c r="J9" s="4"/>
    </row>
    <row r="10" spans="1:10" ht="14.4" x14ac:dyDescent="0.3">
      <c r="A10" s="4">
        <v>16.248999999999999</v>
      </c>
      <c r="B10" s="4">
        <v>9.8879999999999999</v>
      </c>
      <c r="C10" s="5">
        <v>1.6479999999999999</v>
      </c>
      <c r="D10" s="2">
        <f t="shared" si="0"/>
        <v>6</v>
      </c>
      <c r="E10" s="2">
        <f t="shared" si="1"/>
        <v>0.16666666666666666</v>
      </c>
      <c r="F10" s="3">
        <f t="shared" si="2"/>
        <v>0.50847457627118642</v>
      </c>
      <c r="G10" s="3">
        <f t="shared" si="3"/>
        <v>3.8677777777777784</v>
      </c>
      <c r="H10" s="1" t="str">
        <f t="shared" si="4"/>
        <v>yes</v>
      </c>
      <c r="I10" s="4"/>
      <c r="J10" s="4"/>
    </row>
    <row r="11" spans="1:10" x14ac:dyDescent="0.25">
      <c r="I11" s="4"/>
      <c r="J11" s="4"/>
    </row>
    <row r="12" spans="1:10" x14ac:dyDescent="0.25">
      <c r="I12" s="4"/>
      <c r="J12" s="4"/>
    </row>
    <row r="13" spans="1:10" x14ac:dyDescent="0.25">
      <c r="I13" s="4"/>
      <c r="J13" s="4"/>
    </row>
    <row r="14" spans="1:10" x14ac:dyDescent="0.25">
      <c r="I14" s="4"/>
      <c r="J14" s="4"/>
    </row>
    <row r="15" spans="1:10" x14ac:dyDescent="0.25">
      <c r="I15" s="4"/>
      <c r="J15" s="4"/>
    </row>
    <row r="16" spans="1:10" x14ac:dyDescent="0.25">
      <c r="I16" s="4"/>
      <c r="J16" s="4"/>
    </row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</sheetData>
  <sortState xmlns:xlrd2="http://schemas.microsoft.com/office/spreadsheetml/2017/richdata2" ref="A5:K9">
    <sortCondition ref="A2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J39"/>
  <sheetViews>
    <sheetView zoomScale="145" zoomScaleNormal="145" workbookViewId="0">
      <selection activeCell="E31" sqref="E31"/>
    </sheetView>
  </sheetViews>
  <sheetFormatPr defaultColWidth="8.88671875" defaultRowHeight="13.2" x14ac:dyDescent="0.25"/>
  <cols>
    <col min="1" max="8" width="23.6640625" style="4" customWidth="1"/>
    <col min="9" max="10" width="8.88671875" style="9"/>
    <col min="11" max="16384" width="8.88671875" style="4"/>
  </cols>
  <sheetData>
    <row r="1" spans="1:10" x14ac:dyDescent="0.25">
      <c r="A1" s="10" t="s">
        <v>328</v>
      </c>
      <c r="B1" s="10" t="s">
        <v>329</v>
      </c>
      <c r="C1" s="10" t="s">
        <v>330</v>
      </c>
      <c r="D1" s="10" t="s">
        <v>331</v>
      </c>
      <c r="E1" s="10" t="s">
        <v>332</v>
      </c>
      <c r="F1" s="10" t="s">
        <v>331</v>
      </c>
      <c r="G1" s="10" t="s">
        <v>333</v>
      </c>
      <c r="I1" s="4"/>
      <c r="J1" s="4"/>
    </row>
    <row r="2" spans="1:10" x14ac:dyDescent="0.25">
      <c r="A2" s="10" t="s">
        <v>345</v>
      </c>
      <c r="B2" s="10" t="s">
        <v>338</v>
      </c>
      <c r="C2" s="10" t="s">
        <v>335</v>
      </c>
      <c r="D2" s="10" t="s">
        <v>346</v>
      </c>
      <c r="E2" s="10" t="s">
        <v>347</v>
      </c>
      <c r="F2" s="10" t="s">
        <v>336</v>
      </c>
      <c r="G2" s="10" t="s">
        <v>337</v>
      </c>
      <c r="H2" s="10" t="s">
        <v>334</v>
      </c>
      <c r="I2" s="4"/>
      <c r="J2" s="4"/>
    </row>
    <row r="3" spans="1:10" x14ac:dyDescent="0.25">
      <c r="A3" s="10" t="s">
        <v>348</v>
      </c>
      <c r="B3" s="10" t="s">
        <v>349</v>
      </c>
      <c r="C3" s="10" t="s">
        <v>350</v>
      </c>
      <c r="D3" s="10" t="s">
        <v>351</v>
      </c>
      <c r="E3" s="10" t="s">
        <v>352</v>
      </c>
      <c r="F3" s="10" t="s">
        <v>353</v>
      </c>
      <c r="G3" s="10" t="s">
        <v>354</v>
      </c>
      <c r="H3" s="10" t="s">
        <v>355</v>
      </c>
      <c r="I3" s="4"/>
      <c r="J3" s="4"/>
    </row>
    <row r="4" spans="1:10" ht="14.4" x14ac:dyDescent="0.3">
      <c r="A4" s="4">
        <v>8.2379999999999995</v>
      </c>
      <c r="B4" s="4">
        <v>10.187999999999999</v>
      </c>
      <c r="C4" s="5">
        <v>1.698</v>
      </c>
      <c r="D4" s="2">
        <f>B4/C4</f>
        <v>5.9999999999999991</v>
      </c>
      <c r="E4" s="2">
        <f>1/D4</f>
        <v>0.16666666666666669</v>
      </c>
      <c r="F4" s="3">
        <f>D4/11.8</f>
        <v>0.50847457627118631</v>
      </c>
      <c r="G4" s="3">
        <f>(11.8/D4)^2</f>
        <v>3.8677777777777793</v>
      </c>
      <c r="H4" s="1" t="str">
        <f>IF(AND(G4&gt;3.8, G4&lt;4.8),"yes","no")</f>
        <v>yes</v>
      </c>
      <c r="I4" s="4"/>
      <c r="J4" s="4"/>
    </row>
    <row r="5" spans="1:10" ht="14.4" x14ac:dyDescent="0.3">
      <c r="A5" s="4">
        <v>8.2420000000000009</v>
      </c>
      <c r="B5" s="4">
        <v>11.526</v>
      </c>
      <c r="C5" s="5">
        <v>1.921</v>
      </c>
      <c r="D5" s="2">
        <f t="shared" ref="D5:D10" si="0">B5/C5</f>
        <v>6</v>
      </c>
      <c r="E5" s="2">
        <f t="shared" ref="E5:E10" si="1">1/D5</f>
        <v>0.16666666666666666</v>
      </c>
      <c r="F5" s="3">
        <f t="shared" ref="F5:F10" si="2">D5/11.8</f>
        <v>0.50847457627118642</v>
      </c>
      <c r="G5" s="3">
        <f t="shared" ref="G5:G10" si="3">(11.8/D5)^2</f>
        <v>3.8677777777777784</v>
      </c>
      <c r="H5" s="1" t="str">
        <f t="shared" ref="H5:H10" si="4">IF(AND(G5&gt;3.8, G5&lt;4.8),"yes","no")</f>
        <v>yes</v>
      </c>
      <c r="I5" s="4"/>
      <c r="J5" s="4"/>
    </row>
    <row r="6" spans="1:10" ht="14.4" x14ac:dyDescent="0.3">
      <c r="A6" s="4">
        <v>8.2430000000000003</v>
      </c>
      <c r="B6" s="4">
        <v>11.484</v>
      </c>
      <c r="C6" s="5">
        <v>1.9139999999999999</v>
      </c>
      <c r="D6" s="2">
        <f t="shared" si="0"/>
        <v>6</v>
      </c>
      <c r="E6" s="2">
        <f t="shared" si="1"/>
        <v>0.16666666666666666</v>
      </c>
      <c r="F6" s="3">
        <f t="shared" si="2"/>
        <v>0.50847457627118642</v>
      </c>
      <c r="G6" s="3">
        <f t="shared" si="3"/>
        <v>3.8677777777777784</v>
      </c>
      <c r="H6" s="1" t="str">
        <f t="shared" si="4"/>
        <v>yes</v>
      </c>
      <c r="I6" s="4"/>
      <c r="J6" s="4"/>
    </row>
    <row r="7" spans="1:10" ht="14.4" x14ac:dyDescent="0.3">
      <c r="A7" s="4">
        <v>16.27</v>
      </c>
      <c r="B7" s="4">
        <v>15.738000000000001</v>
      </c>
      <c r="C7" s="5">
        <v>2.6230000000000002</v>
      </c>
      <c r="D7" s="2">
        <f t="shared" si="0"/>
        <v>6</v>
      </c>
      <c r="E7" s="2">
        <f t="shared" si="1"/>
        <v>0.16666666666666666</v>
      </c>
      <c r="F7" s="3">
        <f t="shared" si="2"/>
        <v>0.50847457627118642</v>
      </c>
      <c r="G7" s="3">
        <f t="shared" si="3"/>
        <v>3.8677777777777784</v>
      </c>
      <c r="H7" s="1" t="str">
        <f t="shared" si="4"/>
        <v>yes</v>
      </c>
      <c r="I7" s="4"/>
      <c r="J7" s="4"/>
    </row>
    <row r="8" spans="1:10" ht="14.4" x14ac:dyDescent="0.3">
      <c r="A8" s="4">
        <v>16.29</v>
      </c>
      <c r="B8" s="4">
        <v>13.98</v>
      </c>
      <c r="C8" s="5">
        <v>2.33</v>
      </c>
      <c r="D8" s="2">
        <f t="shared" si="0"/>
        <v>6</v>
      </c>
      <c r="E8" s="2">
        <f t="shared" si="1"/>
        <v>0.16666666666666666</v>
      </c>
      <c r="F8" s="3">
        <f t="shared" si="2"/>
        <v>0.50847457627118642</v>
      </c>
      <c r="G8" s="3">
        <f t="shared" si="3"/>
        <v>3.8677777777777784</v>
      </c>
      <c r="H8" s="1" t="str">
        <f t="shared" si="4"/>
        <v>yes</v>
      </c>
      <c r="I8" s="4"/>
      <c r="J8" s="4"/>
    </row>
    <row r="9" spans="1:10" ht="14.4" x14ac:dyDescent="0.3">
      <c r="A9" s="4">
        <v>16.245000000000001</v>
      </c>
      <c r="B9" s="4">
        <v>0</v>
      </c>
      <c r="D9" s="2" t="e">
        <f t="shared" si="0"/>
        <v>#DIV/0!</v>
      </c>
      <c r="E9" s="2" t="e">
        <f t="shared" si="1"/>
        <v>#DIV/0!</v>
      </c>
      <c r="F9" s="3" t="e">
        <f t="shared" si="2"/>
        <v>#DIV/0!</v>
      </c>
      <c r="G9" s="3" t="e">
        <f t="shared" si="3"/>
        <v>#DIV/0!</v>
      </c>
      <c r="H9" s="1" t="e">
        <f t="shared" si="4"/>
        <v>#DIV/0!</v>
      </c>
      <c r="I9" s="4"/>
      <c r="J9" s="4"/>
    </row>
    <row r="10" spans="1:10" ht="14.4" x14ac:dyDescent="0.3">
      <c r="A10" s="4">
        <v>16.248999999999999</v>
      </c>
      <c r="B10" s="4">
        <v>9.8879999999999999</v>
      </c>
      <c r="C10" s="5">
        <v>1.6479999999999999</v>
      </c>
      <c r="D10" s="2">
        <f t="shared" si="0"/>
        <v>6</v>
      </c>
      <c r="E10" s="2">
        <f t="shared" si="1"/>
        <v>0.16666666666666666</v>
      </c>
      <c r="F10" s="3">
        <f t="shared" si="2"/>
        <v>0.50847457627118642</v>
      </c>
      <c r="G10" s="3">
        <f t="shared" si="3"/>
        <v>3.8677777777777784</v>
      </c>
      <c r="H10" s="1" t="str">
        <f t="shared" si="4"/>
        <v>yes</v>
      </c>
      <c r="I10" s="4"/>
      <c r="J10" s="4"/>
    </row>
    <row r="11" spans="1:10" x14ac:dyDescent="0.25">
      <c r="I11" s="4"/>
      <c r="J11" s="4"/>
    </row>
    <row r="12" spans="1:10" x14ac:dyDescent="0.25">
      <c r="I12" s="4"/>
      <c r="J12" s="4"/>
    </row>
    <row r="13" spans="1:10" x14ac:dyDescent="0.25">
      <c r="I13" s="4"/>
      <c r="J13" s="4"/>
    </row>
    <row r="14" spans="1:10" x14ac:dyDescent="0.25">
      <c r="I14" s="4"/>
      <c r="J14" s="4"/>
    </row>
    <row r="15" spans="1:10" x14ac:dyDescent="0.25">
      <c r="I15" s="4"/>
      <c r="J15" s="4"/>
    </row>
    <row r="16" spans="1:10" x14ac:dyDescent="0.25">
      <c r="I16" s="4"/>
      <c r="J16" s="4"/>
    </row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</vt:i4>
      </vt:variant>
    </vt:vector>
  </HeadingPairs>
  <TitlesOfParts>
    <vt:vector size="18" baseType="lpstr">
      <vt:lpstr>-Home-</vt:lpstr>
      <vt:lpstr>Flow Table</vt:lpstr>
      <vt:lpstr>Test Instances</vt:lpstr>
      <vt:lpstr>Channel Map</vt:lpstr>
      <vt:lpstr>Pinmap</vt:lpstr>
      <vt:lpstr>$$SheetNames</vt:lpstr>
      <vt:lpstr>Pattern Sets</vt:lpstr>
      <vt:lpstr>Global Specs</vt:lpstr>
      <vt:lpstr>Levels</vt:lpstr>
      <vt:lpstr>Time Sets</vt:lpstr>
      <vt:lpstr>TDRData</vt:lpstr>
      <vt:lpstr>length report</vt:lpstr>
      <vt:lpstr>PCB Analysis</vt:lpstr>
      <vt:lpstr>PCB Analysis Copy</vt:lpstr>
      <vt:lpstr>_TestLoopCounter</vt:lpstr>
      <vt:lpstr>_Vch_default</vt:lpstr>
      <vt:lpstr>_Vcl_default</vt:lpstr>
      <vt:lpstr>_Vph_default</vt:lpstr>
    </vt:vector>
  </TitlesOfParts>
  <Company>Teradyne,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Teradyne User</dc:creator>
  <cp:lastModifiedBy>Howard Roberts</cp:lastModifiedBy>
  <dcterms:created xsi:type="dcterms:W3CDTF">1997-10-27T17:44:02Z</dcterms:created>
  <dcterms:modified xsi:type="dcterms:W3CDTF">2022-06-01T15:55:16Z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rJob">
    <vt:lpwstr>dib0_tests_v.xlsm</vt:lpwstr>
  </property>
  <property fmtid="{D5CDD505-2E9C-101B-9397-08002B2CF9AE}" pid="3" name="terPart">
    <vt:lpwstr/>
  </property>
  <property fmtid="{D5CDD505-2E9C-101B-9397-08002B2CF9AE}" pid="4" name="terEnv">
    <vt:lpwstr/>
  </property>
  <property fmtid="{D5CDD505-2E9C-101B-9397-08002B2CF9AE}" pid="5" name="terTI">
    <vt:lpwstr>conclusions</vt:lpwstr>
  </property>
  <property fmtid="{D5CDD505-2E9C-101B-9397-08002B2CF9AE}" pid="6" name="terAC">
    <vt:lpwstr/>
  </property>
  <property fmtid="{D5CDD505-2E9C-101B-9397-08002B2CF9AE}" pid="7" name="terDC">
    <vt:lpwstr/>
  </property>
  <property fmtid="{D5CDD505-2E9C-101B-9397-08002B2CF9AE}" pid="8" name="terGlobalSpecsPreviouslyAdded">
    <vt:lpwstr>Vcl_default,Vch_default,Vph_default</vt:lpwstr>
  </property>
  <property fmtid="{D5CDD505-2E9C-101B-9397-08002B2CF9AE}" pid="9" name="terName">
    <vt:lpwstr>dib0_tests_v.xlsm</vt:lpwstr>
  </property>
  <property fmtid="{D5CDD505-2E9C-101B-9397-08002B2CF9AE}" pid="10" name="terActiveSheetName">
    <vt:lpwstr>Flow Table</vt:lpwstr>
  </property>
  <property fmtid="{D5CDD505-2E9C-101B-9397-08002B2CF9AE}" pid="11" name="terChanMap">
    <vt:lpwstr>Channel Map</vt:lpwstr>
  </property>
  <property fmtid="{D5CDD505-2E9C-101B-9397-08002B2CF9AE}" pid="12" name="terChanMapViewMode">
    <vt:lpwstr>Pogo</vt:lpwstr>
  </property>
</Properties>
</file>